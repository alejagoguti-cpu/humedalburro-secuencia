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EME" state="visible" r:id="rId4"/>
    <sheet sheetId="2" name="CAPAS" state="visible" r:id="rId5"/>
    <sheet sheetId="3" name="INTERACCIONES" state="visible" r:id="rId6"/>
    <sheet sheetId="4" name="NODOS" state="visible" r:id="rId7"/>
    <sheet sheetId="5" name="ARISTAS" state="visible" r:id="rId8"/>
    <sheet sheetId="6" name="RED" state="visible" r:id="rId9"/>
    <sheet sheetId="7" name="CONTROL" state="visible" r:id="rId10"/>
  </sheets>
  <calcPr calcId="171027"/>
</workbook>
</file>

<file path=xl/sharedStrings.xml><?xml version="1.0" encoding="utf-8"?>
<sst xmlns="http://schemas.openxmlformats.org/spreadsheetml/2006/main" count="5772" uniqueCount="1974">
  <si>
    <t>RED DE SÍNTOMAS Y EFECTOS DE KENNEDY — ENFOQUES: ECONOMÍA, INNOVACIÓN, REDES (Y METABOLISMO)</t>
  </si>
  <si>
    <t/>
  </si>
  <si>
    <t>Preguntas guía: ¿El territorio genera oportunidades sin agotar recursos ni concentrar beneficios, y puede adaptar su trayectoria? ¿Los flujos y servicios son accesibles y robustos?</t>
  </si>
  <si>
    <t>Red grande = 61 SÍNTOMAS (hechos observables y georreferenciados). Al presionar un síntoma se abre su sub-red con sus EFECTOS. Al presionar un efecto se ven la imagen 1 y la imagen 2; luego vuelve la red grande y se puede MATERIALIZAR sobre las coordenadas del territorio.</t>
  </si>
  <si>
    <t>HOJAS: CAPAS (4 de síntomas + "Efecto en el territorio", que se oculta en la red grande), INTERACCIONES, NODOS, ARISTAS, RED (configuración), CONTROL.</t>
  </si>
  <si>
    <t>NODOS: columna "Evidencia" = Documentado (con fuente pública), Inferido (verificar en campo) o Dato del grupo (contrastar con fuente oficial). Las cifras contradictorias entre fuentes se indican en el texto.</t>
  </si>
  <si>
    <t>Latitud/Longitud: OpenStreetMap/Nominatim (contrastado con la cartografía oficial de los planes de manejo) para lugares con nombre; los síntomas de alcance local (p. ej. déficit de espacio público) se representan en un barrio afectado y así se indica. Los nodos muy cercanos se separan ~50 m para verlos.</t>
  </si>
  <si>
    <t>IMÁGENES: columnas "Imagen 1" e "Imagen 2" (URL o ruta assets/...). La columna "Sugerencia de imágenes" dice qué fotografiar. Si están vacías, el visor muestra una ficha con el texto.</t>
  </si>
  <si>
    <t>GENERAR: node tools/build-red.js datos/red-sintomas-kennedy.xlsx   (luego subir a GitHub)</t>
  </si>
  <si>
    <t>Codigo</t>
  </si>
  <si>
    <t>Capa</t>
  </si>
  <si>
    <t>Descripcion en el panel</t>
  </si>
  <si>
    <t>Color (HEX)</t>
  </si>
  <si>
    <t>Icono (Font Awesome)</t>
  </si>
  <si>
    <t>Insignia</t>
  </si>
  <si>
    <t>C1</t>
  </si>
  <si>
    <t>Economía territorial</t>
  </si>
  <si>
    <t>Concentración de la oferta, informalidad y economía popular</t>
  </si>
  <si>
    <t>#FB923C</t>
  </si>
  <si>
    <t>fa-coins</t>
  </si>
  <si>
    <t>ECONOMÍA</t>
  </si>
  <si>
    <t>C2</t>
  </si>
  <si>
    <t>Conocimiento e innovación</t>
  </si>
  <si>
    <t>Brecha digital, residuos sin transformar e infraestructura social cerrada</t>
  </si>
  <si>
    <t>#A855F7</t>
  </si>
  <si>
    <t>fa-lightbulb</t>
  </si>
  <si>
    <t>INNOVACIÓN</t>
  </si>
  <si>
    <t>C3</t>
  </si>
  <si>
    <t>Redes y flujos</t>
  </si>
  <si>
    <t>Accesibilidad y robustez de vías, transporte y carga</t>
  </si>
  <si>
    <t>#38BDF8</t>
  </si>
  <si>
    <t>fa-route</t>
  </si>
  <si>
    <t>REDES</t>
  </si>
  <si>
    <t>C4</t>
  </si>
  <si>
    <t>Metabolismo urbano</t>
  </si>
  <si>
    <t>Agua, humedales, residuos, alimentos y suelo</t>
  </si>
  <si>
    <t>#4ADE80</t>
  </si>
  <si>
    <t>fa-recycle</t>
  </si>
  <si>
    <t>METABOLISMO</t>
  </si>
  <si>
    <t>C5</t>
  </si>
  <si>
    <t>Efecto en el territorio</t>
  </si>
  <si>
    <t>Consecuencias de cada síntoma: aparecen al abrir su sub-red</t>
  </si>
  <si>
    <t>#F43F5E</t>
  </si>
  <si>
    <t>fa-bolt</t>
  </si>
  <si>
    <t>EFECTO</t>
  </si>
  <si>
    <t>Tipo de relacion</t>
  </si>
  <si>
    <t>Definicion</t>
  </si>
  <si>
    <t>T1</t>
  </si>
  <si>
    <t>Efecto económico</t>
  </si>
  <si>
    <t>El síntoma reduce ingresos, encarece costos o deja valor sin aprovechar.</t>
  </si>
  <si>
    <t>T2</t>
  </si>
  <si>
    <t>Efecto ambiental</t>
  </si>
  <si>
    <t>El síntoma degrada agua, suelo, humedales o aire.</t>
  </si>
  <si>
    <t>fa-leaf</t>
  </si>
  <si>
    <t>T3</t>
  </si>
  <si>
    <t>Efecto en movilidad y redes</t>
  </si>
  <si>
    <t>El síntoma retrasa, interrumpe o encarece flujos de personas y carga.</t>
  </si>
  <si>
    <t>T4</t>
  </si>
  <si>
    <t>Efecto social y de riesgo</t>
  </si>
  <si>
    <t>El síntoma afecta ingresos, acceso a servicios o expone a la población a riesgo.</t>
  </si>
  <si>
    <t>fa-people-group</t>
  </si>
  <si>
    <t>T5</t>
  </si>
  <si>
    <t>Se refuerza por vía económica</t>
  </si>
  <si>
    <t>Dos síntomas se alimentan entre sí a través de ingresos, empleo o costos.</t>
  </si>
  <si>
    <t>#FACC15</t>
  </si>
  <si>
    <t>fa-link</t>
  </si>
  <si>
    <t>T6</t>
  </si>
  <si>
    <t>Se refuerza por vía ambiental</t>
  </si>
  <si>
    <t>Dos síntomas se agravan entre sí a través del agua, los residuos, el suelo o el aire.</t>
  </si>
  <si>
    <t>#A3E635</t>
  </si>
  <si>
    <t>fa-water</t>
  </si>
  <si>
    <t>T7</t>
  </si>
  <si>
    <t>Se refuerza por vía de movilidad y redes</t>
  </si>
  <si>
    <t>Dos síntomas se agravan entre sí a través de las vías, el transporte o la carga.</t>
  </si>
  <si>
    <t>#2DD4BF</t>
  </si>
  <si>
    <t>fa-bus</t>
  </si>
  <si>
    <t>T8</t>
  </si>
  <si>
    <t>Se refuerza por vía social y de riesgo</t>
  </si>
  <si>
    <t>Dos síntomas se agravan entre sí a través del acceso a servicios o de la exposición a riesgo.</t>
  </si>
  <si>
    <t>#E879F9</t>
  </si>
  <si>
    <t>fa-heart-pulse</t>
  </si>
  <si>
    <t>T9</t>
  </si>
  <si>
    <t>Comparten territorio (menos de 600 m)</t>
  </si>
  <si>
    <t>Los dos síntomas ocurren a menos de 600 m de distancia: afectan a los mismos vecinos y calles. Relación derivada de las coordenadas.</t>
  </si>
  <si>
    <t>#94A3B8</t>
  </si>
  <si>
    <t>fa-location-dot</t>
  </si>
  <si>
    <t>T10</t>
  </si>
  <si>
    <t>Comparten entidad responsable</t>
  </si>
  <si>
    <t>Una misma entidad (IDU, EAAB, UAESP, Secretaría de Movilidad, etc.) tiene competencia sobre los dos síntomas. Relación derivada de la columna Actores.</t>
  </si>
  <si>
    <t>#C4B5FD</t>
  </si>
  <si>
    <t>fa-building-columns</t>
  </si>
  <si>
    <t>ID</t>
  </si>
  <si>
    <t>Nombre (name)</t>
  </si>
  <si>
    <t>Capa (cat)</t>
  </si>
  <si>
    <t>Categoria / enfoque (sciname)</t>
  </si>
  <si>
    <t>Evidencia</t>
  </si>
  <si>
    <t>Ubicacion (loc)</t>
  </si>
  <si>
    <t>Que se observa / que ocurre (role)</t>
  </si>
  <si>
    <t>Por que es sintoma o por que importa (alert)</t>
  </si>
  <si>
    <t>Actores</t>
  </si>
  <si>
    <t>Pregunta guia</t>
  </si>
  <si>
    <t>Fuente</t>
  </si>
  <si>
    <t>Imagen (img, opcional)</t>
  </si>
  <si>
    <t>Latitud</t>
  </si>
  <si>
    <t>Longitud</t>
  </si>
  <si>
    <t>Imagen 1 (tras la sub-red)</t>
  </si>
  <si>
    <t>Imagen 2</t>
  </si>
  <si>
    <t>Sugerencia de imagenes</t>
  </si>
  <si>
    <t>NOD-S01</t>
  </si>
  <si>
    <t>Corabastos concentra el abastecimiento de alimentos</t>
  </si>
  <si>
    <t>Síntoma · Economía · Redes</t>
  </si>
  <si>
    <t>Documentado</t>
  </si>
  <si>
    <t>Central de Abastos, Av. Carrera 80 (UPZ Corabastos)</t>
  </si>
  <si>
    <t>Entre 5.000 y 11.000 toneladas de alimentos entran cada día a Corabastos según la fuente: la gerencia habla de 5.000 a 7.000 t y la Secretaría de Desarrollo Económico registró 4.211 t con 641 vehículos en un solo día (abril de 2020). La central ocupa más de 42 ha (cifra de prensa).</t>
  </si>
  <si>
    <t>Un solo punto concentra el flujo y la renta del abastecimiento de Bogotá y de Kennedy: lo que falla allí (bloqueo, paro, congestión) lo sufre toda la cadena.</t>
  </si>
  <si>
    <t>Corporación de Abastos de Bogotá, comerciantes mayoristas, transportadores, SDDE</t>
  </si>
  <si>
    <t>¿El territorio genera oportunidades sin agotar recursos ni concentrar beneficios?</t>
  </si>
  <si>
    <t>Secretaría Distrital de Desarrollo Económico, Alcaldía de Bogotá, boletín de abastecimiento, abril 2020 (bogota.gov.co/mi-ciudad/desarrollo-economico/este-lunes-ingresaron-bogota-4211-toneladas-de-alimentos); La República, entrevista al gerente de Corabastos, 2022 (larepublica.co/economia/corabastos-es-la-nevera-de-bogota-movemos-aproximadamente-7-000-toneladas-al-dia-3404796)</t>
  </si>
  <si>
    <t>Foto 1: acceso principal por la Av. Carrera 80. Foto 2: bodegas de la central en hora pico.</t>
  </si>
  <si>
    <t>fa-warehouse</t>
  </si>
  <si>
    <t>NOD-S02</t>
  </si>
  <si>
    <t>Informalidad laboral alta en una localidad de 1,03 millones de personas</t>
  </si>
  <si>
    <t>Síntoma · Economía</t>
  </si>
  <si>
    <t>Patio Bonito – borde de Corabastos</t>
  </si>
  <si>
    <t>Kennedy tiene 1.034.293 habitantes (2022, proyecciones DANE 2018–2035). La informalidad fuerte (sin prestaciones sociales) era de 48,0% entre las mujeres y 46,3% entre los hombres (Encuesta Multipropósito 2017) y la Alcaldía ubica a la localidad entre las de mayor informalidad laboral de Bogotá (ECV 2023).</t>
  </si>
  <si>
    <t>La economía local no genera suficiente empleo formal: gran parte del ingreso depende de oficios sin contrato ni seguridad social.</t>
  </si>
  <si>
    <t>Alcaldía Local de Kennedy, SDDE, comerciantes informales, hogares de Patio Bonito</t>
  </si>
  <si>
    <t>Alcaldía Mayor de Bogotá, Ficha de valor Kennedy 2022, con proyecciones de población DANE 2018–2035 (secretariageneral.gov.co); Secretaría Distrital de la Mujer, Diagnóstico local Kennedy 2020, con la Encuesta Multipropósito 2017 DANE–SDP (omeg.sdmujer.gov.co); Alcaldía de Bogotá, ficha EBI 2492 "Kennedy Destino de Oportunidades", 2024 (gobiernobogota.gov.co)</t>
  </si>
  <si>
    <t>Foto 1: comercio informal en el borde de Corabastos. Foto 2: calle de Patio Bonito en día de mercado.</t>
  </si>
  <si>
    <t>fa-user-clock</t>
  </si>
  <si>
    <t>NOD-S03</t>
  </si>
  <si>
    <t>147 bodegas de reciclaje dispersas y mayoritariamente informales</t>
  </si>
  <si>
    <t>Síntoma · Economía · Metabolismo</t>
  </si>
  <si>
    <t>Barrios alrededor de Corabastos (representado en el borde de la central)</t>
  </si>
  <si>
    <t>Kennedy tiene 147 bodegas de reciclaje (UAESP, 2012), la cifra más alta de Bogotá. Con tantas bodegas, el volumen por bodega es bajo, la operación cuesta más y baja el pago a los recicladores. La informalidad del reciclaje se estima en 79% (UAESP, citada en una tesis de 2023).</t>
  </si>
  <si>
    <t>El material que sostiene la economía circular de la localidad circula sin escala, sin registro y con márgenes mínimos.</t>
  </si>
  <si>
    <t>Recicladores de oficio, bodegueros, UAESP, ECA</t>
  </si>
  <si>
    <t>Artículo con datos UAESP 2012 (revistas.lasalle.edu.co/index.php/ai/article/view/3369); tesis sobre La Alquería (repository.ugc.edu.co/handle/11396/8008)</t>
  </si>
  <si>
    <t>Foto 1: bodega de reciclaje típica. Foto 2: recicladores clasificando material.</t>
  </si>
  <si>
    <t>NOD-S04</t>
  </si>
  <si>
    <t>Hogares vulnerables sin conexión estable a internet</t>
  </si>
  <si>
    <t>Síntoma · Innovación</t>
  </si>
  <si>
    <t>Patio Bonito</t>
  </si>
  <si>
    <t>El programa Conexión Social lleva fibra óptica de 25 Mbps a 16.000 hogares vulnerables de Kennedy. En Patio Bonito había familias que pagaban datos móviles para que los niños hicieran las tareas. La Alcaldía reconoce además la dificultad de la población vulnerable para acceder a empleos digitales de calidad.</t>
  </si>
  <si>
    <t>Sin conexión estable no hay acceso a formación, empleo digital ni emprendimiento: el conocimiento no llega a quienes más lo necesitan.</t>
  </si>
  <si>
    <t>Secretaría de Integración Social, ETB, hogares de Patio Bonito</t>
  </si>
  <si>
    <t>¿El territorio puede adaptar su trayectoria con conocimiento e innovación?</t>
  </si>
  <si>
    <t>Publimetro, 27-ene-2026 (publimetro.co/noticias/2026/01/27/internet-gratis-en-los-hogares-de-bogota-la-estrategia-para-conectar-a-16000-familias-vulnerables); ImpactoTIC (impactotic.co/innovacion/innovacion-social/conexion-social-en-bogota-25-000-hogares-ya-tienen-internet-gratuito); Secretaría Distrital de la Mujer, Diagnóstico local Kennedy 2020 (hogares con jefatura femenina con internet: 60,1%); Alcaldía de Bogotá, programa Conexión Social con ETB (bogota.gov.co)</t>
  </si>
  <si>
    <t>Foto 1: hogar con instalación de fibra. Foto 2: estudiante haciendo tareas con datos móviles.</t>
  </si>
  <si>
    <t>fa-wifi</t>
  </si>
  <si>
    <t>NOD-S05</t>
  </si>
  <si>
    <t>Residuos vegetales de Corabastos sin transformación a escala</t>
  </si>
  <si>
    <t>Síntoma · Innovación · Metabolismo</t>
  </si>
  <si>
    <t>Central de Abastos</t>
  </si>
  <si>
    <t>Corabastos genera unas 51 t/día de residuos vegetales (estudio PNUD); otra fuente habla de 100 t/día de residuos y de que solo se aprovecha el 65% de la parte orgánica (UT Residuos Verdes). Una tesis de 2023 propone un biodigestor dentro de la central.</t>
  </si>
  <si>
    <t>El mayor generador de residuos orgánicos de la localidad aún no convierte ese flujo en compost, energía o insumos: se pierde valor y se carga el sistema de disposición.</t>
  </si>
  <si>
    <t>Corabastos S.A., UT Residuos Verdes, UAESP, Universidad EAN</t>
  </si>
  <si>
    <t>PNUD / SDA, gestión de residuos orgánicos en plazas de mercado (oab2.ambientebogota.gov.co); CONtexto Ganadero (contextoganadero.com); tesis EAN 2023</t>
  </si>
  <si>
    <t>Foto 1: contenedores de residuos vegetales. Foto 2: planta de transformación de residuos orgánicos.</t>
  </si>
  <si>
    <t>fa-seedling</t>
  </si>
  <si>
    <t>NOD-S06</t>
  </si>
  <si>
    <t>Compostaje artesanal dentro del humedal La Vaca</t>
  </si>
  <si>
    <t>Humedal La Vaca (UPZ Corabastos)</t>
  </si>
  <si>
    <t>Los residuos vegetales del mantenimiento del humedal se compostan de manera muy artesanal, con proliferación de vectores y uso de químicos para controlar olores (tesis de la Universidad Antonio Nariño, 2021).</t>
  </si>
  <si>
    <t>Un ecosistema protegido resuelve sus residuos con técnicas improvisadas: falta método e innovación aplicada a la gestión del propio humedal.</t>
  </si>
  <si>
    <t>EAAB, SDA, comunidad del humedal, universidades</t>
  </si>
  <si>
    <t>Tesis UAN 2021 (repositorio.uan.edu.co/items/6123c6ac-f78f-45b3-a680-af5df2db2bc8)</t>
  </si>
  <si>
    <t>Foto 1: pila de compostaje en el humedal. Foto 2: borde del humedal con residuos vegetales.</t>
  </si>
  <si>
    <t>NOD-S07</t>
  </si>
  <si>
    <t>Centro de reciclaje La Alquería cerrado</t>
  </si>
  <si>
    <t>Síntoma · Innovación · Economía</t>
  </si>
  <si>
    <t>La Alquería La Fragua</t>
  </si>
  <si>
    <t>El primer centro de reciclaje de Bogotá, ubicado en La Alquería (Kennedy), está cerrado indefinidamente y con la infraestructura deteriorada (tesis de 2023).</t>
  </si>
  <si>
    <t>La localidad con más bodegas de reciclaje no tiene operando su principal centro de aprovechamiento: la infraestructura de conocimiento y formalización está inactiva.</t>
  </si>
  <si>
    <t>UAESP, recicladores de oficio, ECA</t>
  </si>
  <si>
    <t>Tesis 2023 (repository.ugc.edu.co/handle/11396/8008); Las2orillas (las2orillas.co/?p=421645)</t>
  </si>
  <si>
    <t>Foto 1: fachada del centro cerrado. Foto 2: interior o patio deteriorado.</t>
  </si>
  <si>
    <t>fa-ban</t>
  </si>
  <si>
    <t>NOD-S08</t>
  </si>
  <si>
    <t>El rescate de alimentos es marginal frente al flujo de la central</t>
  </si>
  <si>
    <t>Síntoma · Metabolismo · Economía</t>
  </si>
  <si>
    <t>Centro de acopio del Banco de Alimentos en Corabastos</t>
  </si>
  <si>
    <t>El Banco de Alimentos rescata de 6 a 9 toneladas al día en Corabastos (676 comerciantes), frente a miles de toneladas que ingresan: menos del 0,2% del flujo. Bogotá pierde o desperdicia alrededor de 1,2 millones de t de alimentos al año (DNP).</t>
  </si>
  <si>
    <t>El sistema alimentario mueve enormes volúmenes pero recupera una fracción mínima: se agota el recurso sin aprovechar el excedente.</t>
  </si>
  <si>
    <t>Banco de Alimentos de Bogotá, comerciantes de Corabastos, SDDE</t>
  </si>
  <si>
    <t>Banco de Alimentos de Bogotá (bancodealimentos.org.co); Alcaldía de Bogotá, estrategia contra la pérdida y el desperdicio de alimentos</t>
  </si>
  <si>
    <t>Foto 1: centro de acopio en Corabastos. Foto 2: entrega de alimentos rescatados.</t>
  </si>
  <si>
    <t>fa-hand-holding-heart</t>
  </si>
  <si>
    <t>NOD-S09</t>
  </si>
  <si>
    <t>Congestión crónica en la Av. Ciudad de Cali y la Av. Villavicencio</t>
  </si>
  <si>
    <t>Síntoma · Redes</t>
  </si>
  <si>
    <t>Portal Américas – Av. Ciudad de Cali con Av. Villavicencio</t>
  </si>
  <si>
    <t>En agosto de 2025 la congestión en la Av. Ciudad de Cali con Av. Villavicencio demoró la salida de buses del Portal Américas desde la madrugada. En junio de 2025, por obras en el corredor, TransMilenio reportó retrasos de hasta 30 minutos en la Troncal Américas.</t>
  </si>
  <si>
    <t>El corredor que conecta Kennedy con el resto de la ciudad no absorbe la demanda: el servicio no es robusto ante obras, accidentes o picos.</t>
  </si>
  <si>
    <t>IDU, TransMilenio, Secretaría de Movilidad, usuarios del Portal Américas</t>
  </si>
  <si>
    <t>¿Los flujos y servicios son accesibles y robustos?</t>
  </si>
  <si>
    <t>Bogotá.gov.co, movilidad y TransMilenio 3-jun-2025 y 1-ago-2025 (bogota.gov.co/mi-ciudad/movilidad); Alcaldía de Bogotá, avance de la Línea 1 y obras en el corredor (bogota.gov.co/mi-ciudad/movilidad)</t>
  </si>
  <si>
    <t>Foto 1: fila de buses saliendo del Portal. Foto 2: congestión en la Av. Ciudad de Cali.</t>
  </si>
  <si>
    <t>fa-car-side</t>
  </si>
  <si>
    <t>NOD-S10</t>
  </si>
  <si>
    <t>Calle 38 Sur deteriorada entre Corabastos y la Av. Ciudad de Cali</t>
  </si>
  <si>
    <t>Calle 38 Sur entre Corabastos y la Av. Ciudad de Cali</t>
  </si>
  <si>
    <t>Un derecho de petición al IDU (enero de 2025) pide intervenir la Calle 38 Sur entre Corabastos y la Av. Ciudad de Cali; un vecino la describe como "una completa trocha".</t>
  </si>
  <si>
    <t>La vía local que conecta la central con la avenida principal está en mal estado: el tramo final de los flujos de carga y de las rutas zonales es el más frágil.</t>
  </si>
  <si>
    <t>IDU, vecinos, transportadores, Corabastos</t>
  </si>
  <si>
    <t>IDU, respuesta a derecho de petición, enero 2025 (idu.gov.co/Archivos_Portal/2025/servicio-a-la-ciudadania/consulte-sus-requerimientos/01-enero/03-01-25/202523600000011.pdf)</t>
  </si>
  <si>
    <t>Foto 1: calzada con huecos. Foto 2: camión transitando por el tramo.</t>
  </si>
  <si>
    <t>fa-road</t>
  </si>
  <si>
    <t>NOD-S11</t>
  </si>
  <si>
    <t>Bloqueos en Patio Bonito interrumpen el transporte masivo</t>
  </si>
  <si>
    <t>Av. Ciudad de Cali con Calle 38 Sur (Patio Bonito)</t>
  </si>
  <si>
    <t>En agosto de 2025 una manifestación en la Av. Ciudad de Cali con Calle 38 Sur obligó a desviar rutas zonales de TransMilenio. En septiembre de 2026 las manifestaciones en Patio Bonito llevaron a cerrar temporalmente el Portal Américas y varias estaciones.</t>
  </si>
  <si>
    <t>Un solo punto de la red, cuando se bloquea, deja sin servicio a varios barrios: la red de transporte tiene poca redundancia.</t>
  </si>
  <si>
    <t>TransMilenio, Secretaría de Movilidad, comunidad de Patio Bonito</t>
  </si>
  <si>
    <t>Bogotá.gov.co, TransMilenio 20-ago-2025 (publimetro.co); Publimetro, 1-sep-2026, manifestaciones en Patio Bonito; Alcaldía de Bogotá, "Más de 30.000 personas afectadas por bloqueos a TransMilenio" (bogota.gov.co/mi-ciudad/movilidad/mas-de-30000-personas-afectadas-por-bloqueos-transmilenio)</t>
  </si>
  <si>
    <t>Foto 1: bloqueo en la avenida. Foto 2: estación o portal cerrado.</t>
  </si>
  <si>
    <t>fa-hand</t>
  </si>
  <si>
    <t>NOD-S12</t>
  </si>
  <si>
    <t>Obras del Metro cierran por tramos el Portal Américas y la estación Biblioteca Tintal</t>
  </si>
  <si>
    <t>Portal Américas y estación Biblioteca Tintal</t>
  </si>
  <si>
    <t>TransMilenio anunció cierres temporales del Portal Américas y de la estación Biblioteca Tintal por obras del Metro (noviembre de 2025; mayo y julio de 2026). La Línea 1 tiene 23,9 km y 75,5% de avance reportado en abril de 2026; su operación está prevista para marzo de 2028.</t>
  </si>
  <si>
    <t>Mientras llega el Metro, la capacidad del sistema actual baja: la transición depende de cierres que los usuarios de Kennedy absorben.</t>
  </si>
  <si>
    <t>Empresa Metro de Bogotá, TransMilenio, IDU</t>
  </si>
  <si>
    <t>Publimetro, 6-nov-2025 y 3-may-2026; Bogotá.gov.co, avance Línea 1 a feb-2026 (bogota.gov.co/mi-ciudad/movilidad/avance-de-la-linea-1-del-metro-de-bogota-con-corte-febrero-2026); TransMilenio S.A., Novedades operativas en el Portal Américas y estación Biblioteca Tintal por obras Metro (transmilenio.gov.co/publicaciones/154711/novedades-operativas-en-el-portal-americas-y-estacion-biblioteca-tintal-por-obras-metro); Alcaldía de Bogotá, Se posterga cierre temporal en Portal Américas y estación Tintal: una dovela no cumplió los controles técnicos en el viaducto de la Av. Ciudad de Cali con Villavicencio (bogota.gov.co/mi-ciudad/movilidad/movilidad-en-bogota-portal-americas-y-biblioteca-tintal-por-obras-2025)</t>
  </si>
  <si>
    <t>Foto 1: obras del viaducto junto al Portal. Foto 2: plataforma cerrada.</t>
  </si>
  <si>
    <t>fa-helmet-safety</t>
  </si>
  <si>
    <t>NOD-S13</t>
  </si>
  <si>
    <t>Flujo de vehículos de carga hacia Corabastos sobre vías locales</t>
  </si>
  <si>
    <t>Síntoma · Redes · Economía</t>
  </si>
  <si>
    <t>Documentado (cifra diaria sin consenso)</t>
  </si>
  <si>
    <t>Accesos a Corabastos (Av. Agoberto Mejía / Carrera 80)</t>
  </si>
  <si>
    <t>Un día de abril de 2020 ingresaron 641 vehículos con 4.211 toneladas (Alcaldía). La gerencia de Corabastos ha citado entre 14.000 y 15.000 vehículos diarios, cifra que no concuerda con las demás fuentes y debe verificarse.</t>
  </si>
  <si>
    <t>La carga de un mercado nacional entra por la malla vial de un barrio residencial: la red vial local sostiene un flujo que no fue diseñada para absorber.</t>
  </si>
  <si>
    <t>Corabastos, transportadores de carga, Secretaría de Movilidad</t>
  </si>
  <si>
    <t>Bogotá.gov.co, abastecimiento 2020 (bogota.gov.co/mi-ciudad/desarrollo-economico/este-lunes-ingresaron-bogota-4211-toneladas-de-alimentos); La República 2022</t>
  </si>
  <si>
    <t>Foto 1: camiones haciendo fila en el acceso. Foto 2: zona de cargue y descargue.</t>
  </si>
  <si>
    <t>fa-truck</t>
  </si>
  <si>
    <t>NOD-S14</t>
  </si>
  <si>
    <t>El humedal El Burro está partido por la Av. Ciudad de Cali</t>
  </si>
  <si>
    <t>Síntoma · Metabolismo</t>
  </si>
  <si>
    <t>Humedal El Burro</t>
  </si>
  <si>
    <t>El Burro tiene 18,84 ha según el Decreto 1468 de 2018 (18,8 ha de área legal, de las cuales 0,2 ha son espejo de agua, según su Plan de Manejo). La Av. Ciudad de Cali lo divide en dos sectores: el oriental, entre la avenida y el barrio Monterrey, y el occidental, entre Monterrey y Pío XII. El diagnóstico del Plan de Manejo señala fragmentación, pérdida acelerada del área inundable y de la capacidad de amortiguar inundaciones, y el impacto de obras de infraestructura vial.</t>
  </si>
  <si>
    <t>Una vía de movilidad se impuso sobre un sistema hídrico: el humedal pierde su función de regulación y su conectividad.</t>
  </si>
  <si>
    <t>EAAB, SDA, IDU, colectivos ambientales</t>
  </si>
  <si>
    <t>Pinilla, M., Pulido, L. D. y Cardona, C. M. (2024). Evaluación económica de servicios del humedal El Burro, Bogotá. Sociedad y Economía, 51, e10812872 (doi.org/10.25100/sye.v0i51.12872); Secretaría Distrital de Ambiente, Plan de Manejo Ambiental del humedal El Burro, formulado por el IDEA de la Universidad Nacional (ambientebogota.gov.co/documents/10184/804589/PMA+EL+BURRO.pdf); Ministerio de Ambiente, Decreto 1468 de 2018</t>
  </si>
  <si>
    <t>Foto 1: vista aérea del humedal con la avenida. Foto 2: sector occidental.</t>
  </si>
  <si>
    <t>NOD-S15</t>
  </si>
  <si>
    <t>El humedal La Vaca fraccionado, con residuos y conexiones erradas</t>
  </si>
  <si>
    <t>Humedal La Vaca (entre El Amparo y Corabastos)</t>
  </si>
  <si>
    <t>El humedal está dividido en dos sectores separados por una zona densamente urbanizada y poblada por estratos bajos: el Norte con 5,72 ha y el Sur con cerca de 2,24 ha según su Plan de Manejo (Javeriana–EAAB, 2008); la SDA reporta 9,95 ha en su informe de gestión 2023, cifra que no coincide con la anterior. Desde 2020 la EAAB ha extraído 732 toneladas de residuos sólidos y 125 de escombros.</t>
  </si>
  <si>
    <t>El humedal vecino de la central mayorista funciona como borde de descarga: pierde superficie y capacidad de limpiar el agua.</t>
  </si>
  <si>
    <t>EAAB, SDA, comunidad, Corabastos</t>
  </si>
  <si>
    <t>Pontificia Universidad Javeriana y EAAB-ESP, Plan de Manejo Ambiental del humedal La Vaca, 2008, ajustes 2009 (paginaweb.metrodebogota.gov.co/sites/default/files/5.2.2.4 PMA VACA.pdf); Secretaría Distrital de Ambiente, Informe de gestión RDH La Vaca 2023 (oab2.ambientebogota.gov.co); Alcaldía de Bogotá, nota sobre el humedal La Vaca (bogota.gov.co/en/node/258831)</t>
  </si>
  <si>
    <t>Foto 1: borde del humedal con vivienda. Foto 2: residuos en el cuerpo de agua.</t>
  </si>
  <si>
    <t>fa-house-flood-water</t>
  </si>
  <si>
    <t>NOD-S16</t>
  </si>
  <si>
    <t>El humedal de Techo con 44% de su área afectada por ocupación</t>
  </si>
  <si>
    <t>Humedal de Techo</t>
  </si>
  <si>
    <t>El Plan de Manejo actualizado (Resolución SDA 02924 de 2023) registra 80 viviendas más que en 2009 y un nivel de afectación de 44,1% del área del humedal, que un artículo que cita el plan fija en 12,30 ha; otras fuentes hablan de unas 11,67 ha. La Secretaría de Ambiente ha ordenado suspender construcciones en el barrio Lagos de Castilla y en octubre de 2025 se incautó maquinaria usada para modificar ilegalmente el área de protección.</t>
  </si>
  <si>
    <t>La ocupación fragmenta el humedal: el sistema natural que debería amortiguar el agua de la zona queda reducido y partido.</t>
  </si>
  <si>
    <t>EAAB, SDA, Alcaldía Local, vecinos de Lagos de Castilla</t>
  </si>
  <si>
    <t>Secretaría Distrital de Ambiente, Resolución 02924 de 2023, PMA RDH Techo (oab.ambientebogota.gov.co/wp-content/uploads/2020/09/Resolucio769n-No.-02924-de-2023-PMA-RDH-Techo.pdf); Las2orillas, que cita el PMA (las2orillas.co/?p=919631); Bogotá.gov.co, suspensión de construcción en el humedal de Techo (bogota.gov.co/mi-ciudad/ambiente/suspenden-construccion-por-afectacion-en-el-humedal-techo-en-kennedy); Publimetro, 29-oct-2025</t>
  </si>
  <si>
    <t>Foto 1: borde urbano del humedal. Foto 2: sector ocupado.</t>
  </si>
  <si>
    <t>fa-droplet</t>
  </si>
  <si>
    <t>NOD-S17</t>
  </si>
  <si>
    <t>Conexiones erradas y desbordes en el río Fucha</t>
  </si>
  <si>
    <t>Barrio La Igualdad, río Fucha</t>
  </si>
  <si>
    <t>La EAAB anunció la eliminación de 285 conexiones erradas en Kennedy (inversión citada de 8.000 millones de pesos; la fecha de la nota debe verificarse). El río Fucha a la altura del barrio La Igualdad es uno de los 107 puntos críticos de Bogotá por riesgo de inundación por desbordamiento.</t>
  </si>
  <si>
    <t>Las aguas residuales llegan por las redes de aguas lluvias a los cuerpos de agua y el río no tiene capacidad de absorber crecientes: el sistema no es robusto.</t>
  </si>
  <si>
    <t>EAAB, IDIGER, Secretaría de Ambiente</t>
  </si>
  <si>
    <t>Bogotá.gov.co, Acueducto cierra conexiones erradas (bogota.gov.co/mi-ciudad/habitat/acueducto-cierra-conexiones-de-agua-que-contaminaban-rios-de-bogota); operativos de inundación (bogota.gov.co/mi-ciudad/ambiente/operativos-en-bogota-para-prevenir-inundaciones-en-fonomeno-de-la-nina)</t>
  </si>
  <si>
    <t>Foto 1: río Fucha a su paso por La Igualdad. Foto 2: tubería de conexión errada.</t>
  </si>
  <si>
    <t>fa-faucet-drip</t>
  </si>
  <si>
    <t>NOD-S18</t>
  </si>
  <si>
    <t>El 35% de Kennedy es terreno inundable</t>
  </si>
  <si>
    <t>Valle aluvial del río Bogotá, occidente de Kennedy (representado en el sector de La Vaca Sur)</t>
  </si>
  <si>
    <t>Un documento de la Alcaldía Local indica que Kennedy es plana, con pequeñas depresiones, y que el 35% de su área es inundable por estar por debajo de las posibilidades de desagüe natural. Pertenece al valle aluvial del río Bogotá, que recibe al Fucha y al Tunjuelo.</t>
  </si>
  <si>
    <t>Una localidad de más de 1 millón de habitantes está asentada sobre suelo que no drena: el riesgo es estructural, no ocasional.</t>
  </si>
  <si>
    <t>Alcaldía Local de Kennedy, IDIGER, EAAB</t>
  </si>
  <si>
    <t>Alcaldía Local de Kennedy, acta/documento (redjurista.com, a_jalkennedy_0003_2021); IDIGER, Inundaciones en Bogotá: causas y zonas de riesgo (idiger.gov.co/escenarios-de-riesgo/inundacion/en-bogota); Secretaría Distrital de Salud, Observatorio de Salud, ASIS Localidad Kennedy 2024 (saludata.saludcapital.gov.co/osb/wp-content/uploads/2026/01/8.-ASIS_Kennedy_2024.pdf) (tres zonas de inundación en Kennedy: microcuenca del Fucha, entre el canal Cundinamarca y el río Bogotá, y ronda del Tunjuelo); Decreto 555 de 2021, mapas de amenaza por inundación y por encharcamiento (CU-2.2.14)</t>
  </si>
  <si>
    <t>Foto 1: calle inundada en temporada de lluvias. Foto 2: mapa de zonas inundables.</t>
  </si>
  <si>
    <t>fa-cloud-rain</t>
  </si>
  <si>
    <t>NOD-S19</t>
  </si>
  <si>
    <t>Déficit de espacio público y zonas verdes</t>
  </si>
  <si>
    <t>Barrios consolidados del centro de Kennedy (representado en el entorno del Hospital de Kennedy)</t>
  </si>
  <si>
    <t>Greenpeace (2020) incluye a Kennedy entre las 13 de 19 localidades con déficit de áreas verdes (4 a 8 m² por habitante frente a 10 m² de referencia). Bogotá tiene 3,9 m² de espacio público efectivo por habitante frente a 15 m² de la norma; la SDP señala déficit importante de plazas en Kennedy.</t>
  </si>
  <si>
    <t>Con unos 26.800 hab/km² faltan lugares públicos para el comercio local, el encuentro y la sombra: el espacio libre es el servicio más escaso.</t>
  </si>
  <si>
    <t>DADEP, IDRD, SDP, Alcaldía Local</t>
  </si>
  <si>
    <t>Greenpeace Colombia, déficit de áreas verdes (greenpeace.org/colombia); SDP / Caja de Vivienda Popular (sistemas002.sdp.gov.co)</t>
  </si>
  <si>
    <t>Foto 1: parque con poca vegetación. Foto 2: andén ocupado por comercio.</t>
  </si>
  <si>
    <t>fa-tree</t>
  </si>
  <si>
    <t>NOD-S20</t>
  </si>
  <si>
    <t>Carga orgánica y lixiviados en el borde de Corabastos</t>
  </si>
  <si>
    <t>Dato del grupo (verificar con fuente pública)</t>
  </si>
  <si>
    <t>Canales de vertimiento contiguos a Corabastos</t>
  </si>
  <si>
    <t>La memoria técnica del grupo registra una DBO₅ superior a 180 mg/L en los canales de vertimiento junto a Corabastos, además de ruido de 75 a 84 dB(A) en la Av. Ciudad de Cali y 78,4% de suelo sellado (NDBI). Estos valores provienen del trabajo del grupo y deben contrastarse con mediciones oficiales.</t>
  </si>
  <si>
    <t>El metabolismo de la central se descarga sobre el borde del humedal: el agua pierde oxígeno y la fauna pierde hábitat.</t>
  </si>
  <si>
    <t>Corabastos, EAAB, SDA</t>
  </si>
  <si>
    <t>Memoria técnica Corte II del grupo (memoria-completa-chat-kennedy-corte2.md)</t>
  </si>
  <si>
    <t>Foto 1: canal junto a Corabastos. Foto 2: punto de muestreo.</t>
  </si>
  <si>
    <t>fa-biohazard</t>
  </si>
  <si>
    <t>NOD-S21</t>
  </si>
  <si>
    <t>Kennedy perdió 5.013 empresas activas en un año</t>
  </si>
  <si>
    <t>Localidad de Kennedy (representado en la Alcaldía Local)</t>
  </si>
  <si>
    <t>Entre 2019 y 2020 la localidad redujo en 11% sus empresas activas: 5.013 empresas menos (Observatorio de Seguimiento de la Emergencia y Reactivación de Bogotá, citado por la Alcaldía).</t>
  </si>
  <si>
    <t>La base empresarial local es frágil: un choque externo borró en un año más de una de cada diez empresas.</t>
  </si>
  <si>
    <t>Alcaldía Local, SDDE, Cámara de Comercio de Bogotá</t>
  </si>
  <si>
    <t>Alcaldía de Bogotá, ficha EBI "2492 Kennedy Destino de Oportunidades" (gobiernobogota.gov.co)</t>
  </si>
  <si>
    <t>Foto 1: local comercial cerrado. Foto 2: sede de la Alcaldía Local.</t>
  </si>
  <si>
    <t>fa-store-slash</t>
  </si>
  <si>
    <t>NOD-S22</t>
  </si>
  <si>
    <t>Economía local concentrada en comercio al por menor, alimentos, muebles y textiles</t>
  </si>
  <si>
    <t>Plaza de las Américas y corredores comerciales</t>
  </si>
  <si>
    <t>Los "corazones productivos" de Kennedy son el comercio al por menor, la producción de alimentos y muebles y los textiles (lencería y pijamas). La localidad registró 62.877 empresas nuevas en 2017, 8,7% de los registros de Bogotá.</t>
  </si>
  <si>
    <t>Se crean muchas empresas pero en actividades de bajo valor agregado: la economía local no se diversifica hacia productos de mayor complejidad.</t>
  </si>
  <si>
    <t>Pequeños comerciantes, fabricantes de muebles y textiles, Cámara de Comercio</t>
  </si>
  <si>
    <t>El Espectador (elespectador.com/bogota/textiles-alimentos-y-muebles-sectores-que-forman-los-corazones-productivos-de-kennedy-bogota-noticias-hoy); La República (larepublica.co/empresas/suba-y-kennedy-son-las-localidades-lideres-en-bogota-en-creacion-de-empresa-2593913); Cámara de Comercio de Bogotá (2020), Perfil económico y empresarial de las localidades de Bogotá (repositoriocdim.esap.edu.co); Cámara de Comercio de Bogotá (2020), Perfil económico y empresarial de las localidades de Bogotá (repositoriocdim.esap.edu.co)</t>
  </si>
  <si>
    <t>Foto 1: comercio en la Av. de las Américas. Foto 2: taller de muebles o confección.</t>
  </si>
  <si>
    <t>fa-shop</t>
  </si>
  <si>
    <t>NOD-S23</t>
  </si>
  <si>
    <t>El apoyo al emprendimiento local es de montos pequeños</t>
  </si>
  <si>
    <t>Síntoma · Economía · Innovación</t>
  </si>
  <si>
    <t>Alcaldía Local de Kennedy</t>
  </si>
  <si>
    <t>La Alcaldía impulsó 250 nuevos emprendimientos con más de $1.600 millones: cerca de 6,4 millones de pesos por emprendimiento (cálculo propio con la cifra citada). La ficha de inversión local de 2024 apunta a apoyar 200 a 220 emprendimientos.</t>
  </si>
  <si>
    <t>Los apoyos alcanzan para arrancar, no para escalar: el emprendimiento popular queda en subsistencia.</t>
  </si>
  <si>
    <t>Alcaldía Local, IPES, SDDE</t>
  </si>
  <si>
    <t>Bogotá.gov.co (bogota.gov.co/mi-ciudad/gobierno/bogota-impulsa-250-nuevos-emprendimientos-con-mas-de-1600-millones); ficha EBI 2492</t>
  </si>
  <si>
    <t>Foto 1: feria de emprendimientos. Foto 2: emprendedor con su insumo entregado.</t>
  </si>
  <si>
    <t>NOD-S24</t>
  </si>
  <si>
    <t>Vendedores informales ocupan el espacio público alrededor de las plazas</t>
  </si>
  <si>
    <t>Plaza Distrital de Mercado de Kennedy y vías aledañas</t>
  </si>
  <si>
    <t>El IPES caracterizó 2.677 vendedores informales en Kennedy (2020), una de las zonas con más ocupación del espacio público. En un operativo se recuperaron cerca de 3.200 m² ocupados más de diez años: de 20 vendedores atendidos, solo 6 aceptaron los puntos comerciales ofrecidos.</t>
  </si>
  <si>
    <t>La economía popular no encuentra un lugar formal con ingresos equivalentes y ocupa la calle: el territorio no genera una alternativa para ellos.</t>
  </si>
  <si>
    <t>IPES, Alcaldía Local, vendedores informales, comerciantes de plaza</t>
  </si>
  <si>
    <t>Bogotá.gov.co, recuperación de espacio público en Kennedy (bogota.gov.co/mi-ciudad/recuperacion-de-espacio-publico); IPES 2020</t>
  </si>
  <si>
    <t>Foto 1: andén ocupado por ventas. Foto 2: punto comercial ofrecido por el IPES.</t>
  </si>
  <si>
    <t>fa-cart-shopping</t>
  </si>
  <si>
    <t>NOD-S25</t>
  </si>
  <si>
    <t>La plaza distrital de Kennedy mueve una fracción mínima frente a Corabastos</t>
  </si>
  <si>
    <t>Plaza Distrital de Mercado de Kennedy (Calle 42 Sur)</t>
  </si>
  <si>
    <t>La plaza tiene 78 locales y queda a unas 15 cuadras de Corabastos; se renovó en 2024 con más de $1.500 millones. Las plazas distritales abastecen 12.110 t al mes, 6% de lo que maneja Corabastos (comunicado antiguo de la Alcaldía).</t>
  </si>
  <si>
    <t>La alternativa de abastecimiento de barrio es pequeña: casi todo el flujo depende de la central.</t>
  </si>
  <si>
    <t>IPES, comerciantes de la plaza, Alcaldía</t>
  </si>
  <si>
    <t>Bogotá.gov.co (bogota.gov.co/mi-ciudad/desarrollo-economico/bogota-cielo-abierto-llega-kennedy; plaza-de-mercado-kennedy-tiene-78-locales)</t>
  </si>
  <si>
    <t>Foto 1: plaza renovada. Foto 2: puestos de verduras.</t>
  </si>
  <si>
    <t>fa-basket-shopping</t>
  </si>
  <si>
    <t>NOD-S26</t>
  </si>
  <si>
    <t>Pobreza extrema en 4,7% de los hogares y más en los de jefatura femenina</t>
  </si>
  <si>
    <t>Patio Bonito y barrios de ingresos bajos</t>
  </si>
  <si>
    <t>El 4,7% de los hogares de Kennedy está en pobreza extrema, y 6,8% entre los hogares con jefatura femenina. El 40,8% de los hogares pobres multidimensionales tiene jefatura femenina; 1 de cada 3 hogares tiene jefa mujer (34,3%).</t>
  </si>
  <si>
    <t>La economía local no cubre lo básico para una parte de los hogares, sobre todo los dirigidos por mujeres.</t>
  </si>
  <si>
    <t>Secretaría de la Mujer, SDIS, Alcaldía Local</t>
  </si>
  <si>
    <t>Secretaría Distrital de la Mujer, Diagnóstico local Kennedy 2020, con base en la Encuesta Multipropósito 2017 (omeg.sdmujer.gov.co)</t>
  </si>
  <si>
    <t>Foto 1: hogar de Patio Bonito. Foto 2: comedor comunitario.</t>
  </si>
  <si>
    <t>fa-hand-holding-dollar</t>
  </si>
  <si>
    <t>NOD-S27</t>
  </si>
  <si>
    <t>Brecha laboral de género: 50,2% de participación femenina frente a 71,8% masculina</t>
  </si>
  <si>
    <t>Localidad de Kennedy (representado en la Manzana del Cuidado Kennedy–Timiza)</t>
  </si>
  <si>
    <t>En 2017 la tasa global de participación fue 50,2% para mujeres y 71,8% para hombres. El 32,1% de las mujeres se dedicó a oficios del hogar frente a 6,5% de los hombres, y 2 de cada 3 personas económicamente inactivas son mujeres.</t>
  </si>
  <si>
    <t>Una de las mitades de la población trabaja menos en el mercado por cargas no remuneradas: el territorio pierde ingresos y talento.</t>
  </si>
  <si>
    <t>Secretaría de la Mujer, SDDE, hogares</t>
  </si>
  <si>
    <t>Secretaría Distrital de la Mujer, Diagnóstico local Kennedy 2020 (Encuesta Multipropósito 2017)</t>
  </si>
  <si>
    <t>Foto 1: mujer cuidadora con menores. Foto 2: servicio de lavandería comunitaria.</t>
  </si>
  <si>
    <t>fa-venus-mars</t>
  </si>
  <si>
    <t>NOD-S28</t>
  </si>
  <si>
    <t>Carga de cuidado: 32,6% de la población tiene el cuidado como actividad principal</t>
  </si>
  <si>
    <t>Manzana del Cuidado Kennedy–Timiza (ubicación aproximada)</t>
  </si>
  <si>
    <t>Según la Alcaldía (abril de 2026), en Kennedy el 32,6% de las personas tiene labores de cuidado como actividad principal. La Manzana del Cuidado ha atendido a 11.998 personas con 81.192 atenciones; más del 68% son mujeres.</t>
  </si>
  <si>
    <t>El cuidado sostiene a los hogares pero no se paga ni se comparte: la oferta de servicios de respiro llega a una parte pequeña de quienes lo necesitan.</t>
  </si>
  <si>
    <t>Bogotá.gov.co, 24-abr-2026 (bogota.gov.co/mi-ciudad/mujer/bogota-fortalece-el-cuidado-en-kennedy-con-impacto-en-mujeres-2026)</t>
  </si>
  <si>
    <t>Foto 1: sede de la Manzana del Cuidado. Foto 2: mujeres en un servicio de formación.</t>
  </si>
  <si>
    <t>fa-baby-carriage</t>
  </si>
  <si>
    <t>NOD-S29</t>
  </si>
  <si>
    <t>Kennedy es la tercera localidad que más recibe víctimas del conflicto armado</t>
  </si>
  <si>
    <t>Documentado (cita completa por confirmar)</t>
  </si>
  <si>
    <t>Patio Bonito y barrios de recepción</t>
  </si>
  <si>
    <t>Un documento de la Secretaría Distrital de Planeación sitúa a Kennedy como la tercera localidad de Bogotá con mayor recepción de víctimas del conflicto y señala la necesidad de iniciativas de economía social y solidaria.</t>
  </si>
  <si>
    <t>La localidad absorbe población que llega sin empleo ni redes, y la economía local debe incluirla.</t>
  </si>
  <si>
    <t>Unidad de Víctimas, SDP, Alcaldía Local</t>
  </si>
  <si>
    <t>Secretaría Distrital de Planeación, documento sobre víctimas del conflicto por localidad (título y año por completar antes de citar en la tesis)</t>
  </si>
  <si>
    <t>Foto 1: barrio de recepción. Foto 2: taller de economía solidaria.</t>
  </si>
  <si>
    <t>fa-people-arrows</t>
  </si>
  <si>
    <t>NOD-S30</t>
  </si>
  <si>
    <t>Densidad de unos 26.800 hab/km² en una localidad plana de 38,6 km²</t>
  </si>
  <si>
    <t>Localidad de Kennedy (centro geográfico)</t>
  </si>
  <si>
    <t>Kennedy tuvo 1.034.293 habitantes en 2022 (proyecciones DANE 2018–2035) en 3.859 ha (38,59 km²) y 12 UPZ: unos 26.800 habitantes por km² (cálculo propio con esas dos cifras).</t>
  </si>
  <si>
    <t>Cada servicio (agua, vías, parques, salud) debe atender una carga muy alta por kilómetro cuadrado: cualquier falla afecta a muchas personas a la vez.</t>
  </si>
  <si>
    <t>DANE, SDP, Alcaldía Local</t>
  </si>
  <si>
    <t>Alcaldía Mayor de Bogotá, Ficha de valor Kennedy 2022, con proyecciones de población DANE 2018–2035 (secretariageneral.gov.co/sites/default/files/documentos_informacion_ppe/2022-08/ficha_de_valor_kennedy_2022_-it.pdf)</t>
  </si>
  <si>
    <t>Foto 1: vista aérea de la localidad. Foto 2: calle de alta densidad.</t>
  </si>
  <si>
    <t>fa-people-roof</t>
  </si>
  <si>
    <t>NOD-S31</t>
  </si>
  <si>
    <t>Los colegios oficiales obtienen 22 puntos menos que los privados en Saber 11</t>
  </si>
  <si>
    <t>Colegios distritales de Kennedy (representado en El Tintal)</t>
  </si>
  <si>
    <t>En 2022, los colegios distritales de Kennedy promediaron 264,1 puntos globales frente a 286,6 de los privados de la localidad. En inglés, 53,4 frente a 60,3; en matemáticas, 53,3 frente a 58,0 (ICFES, datos provisionales).</t>
  </si>
  <si>
    <t>La brecha de conocimiento se mide al terminar el colegio: los jóvenes del sector oficial entran con menos preparación a la educación superior y al empleo.</t>
  </si>
  <si>
    <t>Secretaría de Educación, ICFES, colegios distritales</t>
  </si>
  <si>
    <t>Secretaría de Educación de Bogotá, Caracterización del sector educativo Kennedy 2022 (educacionbogota.edu.co)</t>
  </si>
  <si>
    <t>Foto 1: aula de colegio distrital. Foto 2: estudiantes presentando prueba.</t>
  </si>
  <si>
    <t>fa-graduation-cap</t>
  </si>
  <si>
    <t>NOD-S32</t>
  </si>
  <si>
    <t>Ningún colegio distrital de Kennedy alcanzó la categoría A+ en 2022</t>
  </si>
  <si>
    <t>Colegios distritales de Kennedy</t>
  </si>
  <si>
    <t>De 41 colegios distritales clasificados, 0% estuvo en A+, 14,6% en A y 78,0% en B (2022). La localidad estaba 20 puntos porcentuales por debajo del promedio de Bogotá en el porcentaje de colegios en A+, A y B.</t>
  </si>
  <si>
    <t>No hay un referente de excelencia en el sector oficial local que sirva de modelo y de motor de innovación educativa.</t>
  </si>
  <si>
    <t>Secretaría de Educación, rectores</t>
  </si>
  <si>
    <t>Secretaría de Educación de Bogotá, Caracterización Kennedy 2022</t>
  </si>
  <si>
    <t>Foto 1: fachada de colegio. Foto 2: laboratorio o sala de informática.</t>
  </si>
  <si>
    <t>fa-school</t>
  </si>
  <si>
    <t>NOD-S33</t>
  </si>
  <si>
    <t>La matrícula oficial cayó casi 5.700 estudiantes en un año</t>
  </si>
  <si>
    <t>Sistema educativo oficial de Kennedy</t>
  </si>
  <si>
    <t>En 2022 la matrícula oficial fue de 108.243 estudiantes frente a 113.907 del año anterior (−4,97%). La cobertura bruta perdió 2,4 puntos porcentuales entre 2018 y 2022.</t>
  </si>
  <si>
    <t>Menos estudiantes en el sistema oficial en una localidad con más de 1 millón de habitantes: el sistema pierde capacidad de retener y formar.</t>
  </si>
  <si>
    <t>Secretaría de Educación, colegios distritales</t>
  </si>
  <si>
    <t>Foto 1: aula con pocos estudiantes. Foto 2: gráfica de matrícula.</t>
  </si>
  <si>
    <t>fa-arrow-trend-down</t>
  </si>
  <si>
    <t>NOD-S34</t>
  </si>
  <si>
    <t>Una de cada cuatro mujeres no estudia porque necesita trabajar</t>
  </si>
  <si>
    <t>Localidad de Kennedy</t>
  </si>
  <si>
    <t>El 98,8% de las mujeres de 15 años o más sabe leer y escribir, pero solo el 14,7% estudia. Una de cada 4 no estudia porque necesita trabajar y una de cada 4 porque considera que ya terminó; de cada 10 personas que no estudian por oficios domésticos, 9 son mujeres.</t>
  </si>
  <si>
    <t>La necesidad de ingreso y de cuidado interrumpe la formación: el conocimiento no se acumula donde más se necesita.</t>
  </si>
  <si>
    <t>Secretaría de la Mujer, Secretaría de Educación</t>
  </si>
  <si>
    <t>Foto 1: mujer trabajando. Foto 2: curso técnico nocturno.</t>
  </si>
  <si>
    <t>fa-book-open</t>
  </si>
  <si>
    <t>NOD-S35</t>
  </si>
  <si>
    <t>Solo 60,1% de los hogares con jefa mujer tiene internet</t>
  </si>
  <si>
    <t>Hogares con jefatura femenina de Kennedy</t>
  </si>
  <si>
    <t>El 60,1% de los hogares de jefatura femenina tiene internet, 4,8 puntos menos que los de jefe hombre y 3,8 menos que el promedio de las jefas de Bogotá. La mitad se conecta por celular; entre quienes no usan internet, el 40,8% dice que no lo conoce o no sabe usarlo.</t>
  </si>
  <si>
    <t>La brecha no es solo de acceso sino de habilidades: sin conocimiento de las herramientas, las oportunidades digitales no se aprovechan.</t>
  </si>
  <si>
    <t>Secretaría de la Mujer, MinTIC, ETB</t>
  </si>
  <si>
    <t>Secretaría Distrital de la Mujer, Diagnóstico local Kennedy 2020</t>
  </si>
  <si>
    <t>Foto 1: hogar con un único celular. Foto 2: curso de alfabetización digital.</t>
  </si>
  <si>
    <t>fa-mobile-screen</t>
  </si>
  <si>
    <t>NOD-S36</t>
  </si>
  <si>
    <t>La universidad pública de Kennedy atiende a unos 500 jóvenes</t>
  </si>
  <si>
    <t>Universidad Pública de Kennedy (El Tintal)</t>
  </si>
  <si>
    <t>La sede de El Tintal comenzó a construirse en 2015 y se inauguró en 2022 para beneficiar a cerca de 500 jóvenes, con programas de derecho, administración, licenciaturas y técnicas en computación y electrónica. En Bogotá solo el 55% de los jóvenes accede a educación superior y el desempleo juvenil es 16,5% (DANE, citado por la Alcaldía).</t>
  </si>
  <si>
    <t>La oferta pública de educación superior en la localidad es mínima frente a una población de más de 1 millón: formar capacidades para la innovación depende de salir de Kennedy.</t>
  </si>
  <si>
    <t>Ministerio de Educación, Secretaría de Educación, universidades aliadas</t>
  </si>
  <si>
    <t>Bogotá.gov.co (bogota.gov.co/mi-ciudad/educacion/bogota-inauguro-universidad-publica-en-la-localidad-de-kennedy); Infobae 2022</t>
  </si>
  <si>
    <t>Foto 1: edificio del multicampus. Foto 2: clase de computación.</t>
  </si>
  <si>
    <t>NOD-S37</t>
  </si>
  <si>
    <t>Corabastos vende comida con riesgos sanitarios en el borde de la central</t>
  </si>
  <si>
    <t>Barrio Llano Grande (UPZ Corabastos)</t>
  </si>
  <si>
    <t>En noviembre de 2025 sellaron una fábrica de morcilla en Corabastos: no tenía la documentación para funcionar y se hallaron rellenas en el suelo y en condiciones antihigiénicas.</t>
  </si>
  <si>
    <t>La informalidad llega a la cadena alimentaria misma: alimentos preparados sin control sanitario alrededor de la central que abastece a la ciudad.</t>
  </si>
  <si>
    <t>Alcaldía Local de Kennedy, Secretaría de Salud, Invima</t>
  </si>
  <si>
    <t>Publimetro, 20-nov-2025 (publimetro.co/bogota/2025/11/20/autoridades-sellan-conocida-fabrica-de-morcilla-en-corabastos-por-condiciones-antihigienicas); Alcaldía Local de Kennedy, Sellada fábrica de morcilla insalubre en Kennedy (gobiernobogota.gov.co/noticias/sellada-fabrica-morcilla-insalubre-Kennedy-IVC)</t>
  </si>
  <si>
    <t>Foto 1: establecimiento sellado. Foto 2: inspección sanitaria.</t>
  </si>
  <si>
    <t>fa-bacteria</t>
  </si>
  <si>
    <t>NOD-S38</t>
  </si>
  <si>
    <t>Más de 20.000 vehículos al día cruzan la Carrera 80 con Diagonal 2</t>
  </si>
  <si>
    <t>Av. Agoberto Mejía (Carrera 80) con Diagonal 2, junto a Corabastos</t>
  </si>
  <si>
    <t>El IDU calcula que por esa intersección pasan más de 20.000 vehículos en un día promedio. En enero de 2026 anunció un puente vehicular de más de $62.000 millones, previsto para el segundo semestre de 2027.</t>
  </si>
  <si>
    <t>El acceso norte de la central opera sobre un cruce saturado y sin solución en el corto plazo: la red de acceso no es robusta.</t>
  </si>
  <si>
    <t>IDU, Secretaría de Movilidad, Corabastos</t>
  </si>
  <si>
    <t>Bogotá.gov.co, obras del puente Av. Agoberto Mejía con Diagonal 2 (bogota.gov.co/mi-ciudad/movilidad/obras-puente-av-agoberto-mejia-o-carrera-80-con-diagonal-2-en-bogota)</t>
  </si>
  <si>
    <t>Foto 1: intersección en hora pico. Foto 2: obra del puente.</t>
  </si>
  <si>
    <t>fa-traffic-light</t>
  </si>
  <si>
    <t>NOD-S39</t>
  </si>
  <si>
    <t>Los diseños de nuevos accesos a Corabastos quedaron en liquidación</t>
  </si>
  <si>
    <t>Av. Agoberto Mejía entre la Av. de las Américas y la Av. Manuel Cepeda</t>
  </si>
  <si>
    <t>El IDU tenía un proyecto de estudios y diseños de accesos viales María Paz–Corabastos que incluía eliminar la salida principal de la central por la Av. de las Américas y reasignarla por la Av. Muiscas; aparece en etapa de liquidación.</t>
  </si>
  <si>
    <t>La solución estructural para los accesos de la central está sin ejecutar: se repara lo existente pero no se rediseña el flujo.</t>
  </si>
  <si>
    <t>IDU, Corabastos, Alcaldía Local</t>
  </si>
  <si>
    <t>IDU, respuesta a petición 18-feb-2025 (idu.gov.co/Archivos_Portal/2025/servicio-a-la-ciudadania/consulte-sus-requerimientos/02-febrero/18-02-25/202523600128891.pdf)</t>
  </si>
  <si>
    <t>Foto 1: salida de camiones por la Av. Américas. Foto 2: plano del proyecto.</t>
  </si>
  <si>
    <t>fa-diagram-project</t>
  </si>
  <si>
    <t>NOD-S40</t>
  </si>
  <si>
    <t>El Portal Américas concentra unas 70.000 validaciones diarias y es el portal más usado del sistema</t>
  </si>
  <si>
    <t>Portal Américas</t>
  </si>
  <si>
    <t>Según TransMilenio, el Portal Américas es el portal con más validaciones diarias del sistema: 77.167 en diciembre de 2024, 74.774 en marzo de 2025 y 70.315 en diciembre de 2025 (12.115 en hora pico). En 2023 vecinos describieron filas de ingreso de más de 30 minutos; en noviembre de 2024 hubo congestión en su salida y en abril de 2026 un accidente obligó a desviar la flota troncal.</t>
  </si>
  <si>
    <t>Una sola estación concentra el acceso al transporte masivo de varios barrios: cualquier incidente se propaga.</t>
  </si>
  <si>
    <t>TransMilenio, Secretaría de Movilidad</t>
  </si>
  <si>
    <t>Publimetro, 25-nov-2024 y 22-abr-2026 (publimetro.co); reporte 2023 sobre el portal; TransMilenio S.A., Estadísticas de oferta y demanda del SITP, diciembre 2025 (transmilenio.gov.co)</t>
  </si>
  <si>
    <t>Foto 1: fila de ingreso. Foto 2: buses desviados.</t>
  </si>
  <si>
    <t>NOD-S41</t>
  </si>
  <si>
    <t>Los bloqueos en la Troncal Américas afectan a decenas de miles de usuarios y dejan estaciones sin servicio</t>
  </si>
  <si>
    <t>Troncal Américas, cerca de la estación Banderas</t>
  </si>
  <si>
    <t>TransMilenio y la Alcaldía han reportado bloqueos recurrentes en la Troncal Américas y el Portal Américas: en un caso más de 30.000 usuarios afectados y las estaciones Biblioteca Tintal y Patio Bonito sin servicio; en un corte de diciembre de 2024, 10.199 usuarios afectados. En agosto de 2026 un bloqueo dejó más de 20.000 usuarios afectados (20.074) y cinco estaciones sin servicio (reporte de prensa).</t>
  </si>
  <si>
    <t>Un corte puntual interrumpe cinco estaciones: la red troncal no tiene redundancia local.</t>
  </si>
  <si>
    <t>TransMilenio, Secretaría de Movilidad, manifestantes</t>
  </si>
  <si>
    <t>Publimetro, 24-ago-2026 (publimetro.co/bogota/2026/08/24/caos-en-transmilenio-bloqueo-en-la-troncal-americas-deja-mas-de-20000-usuarios-afectados-y-cinco-estaciones-sin-servicio); Alcaldía de Bogotá, "Más de 30.000 personas afectadas por bloqueos a TransMilenio" (bogota.gov.co/mi-ciudad/movilidad/mas-de-30000-personas-afectadas-por-bloqueos-transmilenio)</t>
  </si>
  <si>
    <t>Foto 1: estación cerrada. Foto 2: usuarios caminando por la troncal.</t>
  </si>
  <si>
    <t>fa-triangle-exclamation</t>
  </si>
  <si>
    <t>NOD-S42</t>
  </si>
  <si>
    <t>La estación Patio Bonito cerró por la ampliación de la Av. Ciudad de Cali</t>
  </si>
  <si>
    <t>Estación Patio Bonito (Av. Ciudad de Cali)</t>
  </si>
  <si>
    <t>En febrero de 2024 se cerraron temporalmente tres de los cuatro vagones de la estación y luego se anunció su cierre temporal total, por obras de ampliación de la Av. Ciudad de Cali como vía alimentadora de la Primera Línea del Metro.</t>
  </si>
  <si>
    <t>La obra que mejorará la red deja sin estación a uno de los barrios más poblados durante meses.</t>
  </si>
  <si>
    <t>IDU, TransMilenio, Empresa Metro de Bogotá</t>
  </si>
  <si>
    <t>Alcaldía de Bogotá, cierre parcial de la estación Patio Bonito por obras de la Av. Ciudad de Cali (bogota.gov.co/en/node/177989); El Espectador (elespectador.com/bogota/por-obras-del-metro-estacion-de-transmilenio-de-patio-bonito-cerro-temporalmente); Blu Radio</t>
  </si>
  <si>
    <t>Foto 1: estación con vagones cerrados. Foto 2: obra de ampliación.</t>
  </si>
  <si>
    <t>fa-door-closed</t>
  </si>
  <si>
    <t>NOD-S43</t>
  </si>
  <si>
    <t>Cerca de 1.400 negocios afectados por obras del Metro necesitan flujo de caja</t>
  </si>
  <si>
    <t>Corredor de obras del Metro (Av. Villavicencio / Portal Américas)</t>
  </si>
  <si>
    <t>La Alcaldía anunció $6.000 millones para cerca de 1.400 negocios afectados por obras del Metro en 12 localidades; casi 1.300 fueron caracterizados y lo que más necesitan es flujo de caja. El dato es del conjunto de las localidades, no solo de Kennedy.</t>
  </si>
  <si>
    <t>La transición hacia una mejor red de transporte la pagan los comerciantes del corredor con menos clientes y más costos.</t>
  </si>
  <si>
    <t>SDDE, Empresa Metro, comerciantes</t>
  </si>
  <si>
    <t>Publimetro, 24-sep-2025 (publimetro.co/bogota/2025/09/24/alcaldia-de-bogota-dara-subsidios-economicos-a-las-empresas-afectadas-por-las-obras-del-metro-como-sera-el-pago)</t>
  </si>
  <si>
    <t>Foto 1: comercio junto a la obra. Foto 2: andén cerrado por obra.</t>
  </si>
  <si>
    <t>fa-store</t>
  </si>
  <si>
    <t>NOD-S44</t>
  </si>
  <si>
    <t>Más de 5.000 bicitaxistas circulan en la ciudad ante la falta de transporte en Patio Bonito y El Tintal</t>
  </si>
  <si>
    <t>Av. Ciudad de Cali, Patio Bonito y El Tintal</t>
  </si>
  <si>
    <t>La Secretaría de Movilidad censó 3.054 bicitaxis en Bogotá en 2013 y 4.646 en 2019 (+52%); el servicio solo está autorizado en modalidad no motorizada (Resolución 3256 de 2018 del Ministerio de Transporte). La prensa reporta más de 5.000 bicitaxistas en sectores como Patio Bonito y El Tintal y un vehículo adaptado con unas nueve personas de pie y sin medidas de seguridad.</t>
  </si>
  <si>
    <t>Cuando el transporte formal no llega, se organiza uno informal: genera ingreso, pero sin seguridad ni regulación.</t>
  </si>
  <si>
    <t>Secretaría de Movilidad, bicitaxistas, usuarios</t>
  </si>
  <si>
    <t>Noticias RCN (noticiasrcn.com/bogota/pareja-fue-victima-de-robo-por-bicitaxistas-en-kennedy-425386); Blu Radio (lakalle.bluradio.com); Universidad La Gran Colombia (2014), estudio de bicitaxismo en la Av. Ciudad de Cali, UPZ Patio Bonito y Las Margaritas (repository.ugc.edu.co); Revista Ingenio Magno, "Bicitaxismo: alternativa de transporte para su articulación al sistema de transporte público de Bogotá" (revistas.santototunja.edu.co/index.php/ingeniomagno/en/article/view/1648); Secretaría Distrital de Movilidad, caracterización y censo del bicitaxismo (bogota.gov.co/mi-ciudad/movilidad/bicitaxismo-en-bogota); Ministerio de Transporte, Resolución 3256 de 2018 (transporte en triciclos no motorizados)</t>
  </si>
  <si>
    <t>Foto 1: bicitaxi cargado. Foto 2: parqueadero de bicitaxis en la Av. Ciudad de Cali.</t>
  </si>
  <si>
    <t>fa-bicycle</t>
  </si>
  <si>
    <t>NOD-S45</t>
  </si>
  <si>
    <t>Los operativos contra bicitaxis terminaron en bloqueos y buses atacados</t>
  </si>
  <si>
    <t>Av. Ciudad de Cali con Av. de las Américas</t>
  </si>
  <si>
    <t>En agosto de 2022 los operativos contra bicitaxis y mototaxis provocaron bloqueos a TransMilenio y ataques a 31 buses del SITP en la Av. Ciudad de Cali con Américas; en septiembre de 2023 hubo protestas con quema de llantas y enfrentamientos.</t>
  </si>
  <si>
    <t>Sin una alternativa de ingreso para los transportistas informales, la regulación genera conflicto que interrumpe el servicio de todos.</t>
  </si>
  <si>
    <t>Secretaría de Movilidad, bicitaxistas, TransMilenio</t>
  </si>
  <si>
    <t>El Espectador, ago-2022 (elespectador.com/bogota/patio-bonito-operativos-contra-bicitaxis-en-el-sur-de-bogota-terminaron-en-disturbios); Publimetro, sep-2023</t>
  </si>
  <si>
    <t>Foto 1: buses vandalizados. Foto 2: bloqueo en la avenida.</t>
  </si>
  <si>
    <t>fa-fire</t>
  </si>
  <si>
    <t>NOD-S46</t>
  </si>
  <si>
    <t>Ciclistas muertos por choques con vehículos pesados en la Av. Boyacá</t>
  </si>
  <si>
    <t>Av. Boyacá con Av. de las Américas y calles 7C y 44 Sur (ubicación aproximada)</t>
  </si>
  <si>
    <t>La Secretaría de Movilidad ubica a Kennedy entre las localidades con más víctimas fatales por siniestros viales (Anuario 2024) y registra un promedio de 70 fallecidos al año entre 2015 y 2022; en los primeros cinco meses de 2023 hubo 34 víctimas fatales en la localidad. La prensa reportó muertes de ciclistas en la Av. Boyacá: tractocamión en el cruce con la Av. Américas (febrero de 2023), volqueta en la Calle 44 Sur (junio de 2024) y camión en la Calle 7C (octubre de 2025).</t>
  </si>
  <si>
    <t>La movilidad en bicicleta convive con carga pesada sin infraestructura segura: el servicio de movilidad activa no es accesible ni robusto.</t>
  </si>
  <si>
    <t>Secretaría de Movilidad, IDU, ciclistas</t>
  </si>
  <si>
    <t>El Espectador (elespectador.com/bogota/asi-fue-el-fatal-momento-en-el-que-una-volqueta-arrollo-a-ciclista-en-kennedy); El Carro Colombiano; Diario del Sur; Secretaría Distrital de Movilidad, Observatorio de Movilidad, Análisis de la siniestralidad vial en Bogotá (observatorio.movilidadbogota.gov.co/actualidad/siniestralidad-vial-en-bogota) y Anuario de Siniestralidad Vial 2024 (movilidadbogota.gov.co); Bogotá Cómo Vamos, Una mirada a la siniestralidad vial en Kennedy (bogotacomovamos.org/siniestralidad-vial-en-kennedy/)</t>
  </si>
  <si>
    <t>Foto 1: cruce de la Av. Boyacá. Foto 2: ciclorruta junto a vía de carga.</t>
  </si>
  <si>
    <t>fa-person-biking</t>
  </si>
  <si>
    <t>NOD-S47</t>
  </si>
  <si>
    <t>Un motociclista murió por el mal estado de la Av. Primero de Mayo</t>
  </si>
  <si>
    <t>Av. Primero de Mayo, Kennedy</t>
  </si>
  <si>
    <t>La Secretaría de Movilidad ubica a Kennedy entre las localidades con más víctimas fatales por siniestros viales y los motociclistas fueron el 47,3% de los fallecidos de Bogotá en 2024. La prensa reportó que una vía en mal estado en Kennedy cobró la vida de un motociclista y que un accidente en la Av. Primero de Mayo se atribuyó a una obra sin terminar y a un carril en mal estado (2023).</t>
  </si>
  <si>
    <t>La infraestructura vial mal mantenida es un factor de riesgo directo para quienes se mueven en moto.</t>
  </si>
  <si>
    <t>IDU, UMV, Secretaría de Movilidad</t>
  </si>
  <si>
    <t>El Espectador (elespectador.com/bogota/via-en-mal-estado-en-kennedy-cobro-la-vida-de-un-motociclista-en-bogota-noticias-hoy); Publimetro, 31-ago-2023; Secretaría Distrital de Movilidad, Observatorio de Movilidad, Análisis de la siniestralidad vial en Bogotá (observatorio.movilidadbogota.gov.co/actualidad/siniestralidad-vial-en-bogota) y Anuario de Siniestralidad Vial 2024 (movilidadbogota.gov.co); Alcaldía de Bogotá, mejoramiento de la ciclorruta de la Av. Primero de Mayo (84 segmentos, 1,83 km; bogota.gov.co/asi-vamos/obras/mejoramiento-de-la-malla-vial-en-la-ciclorruta-del-hospital-de-kennedy)</t>
  </si>
  <si>
    <t>Foto 1: carril deteriorado. Foto 2: señal de obra sin terminar.</t>
  </si>
  <si>
    <t>fa-motorcycle</t>
  </si>
  <si>
    <t>NOD-S48</t>
  </si>
  <si>
    <t>El paro camionero de 2024 redujo a la mitad la llegada de alimentos a Corabastos</t>
  </si>
  <si>
    <t>Corabastos</t>
  </si>
  <si>
    <t>En septiembre de 2024 la llegada de alimentos a Bogotá cayó 51% y el ingreso de vehículos a Corabastos bajó 55% frente a la semana anterior. En pocos días la arveja subió 40,6%, el tomate 39% y la cebolla junca 49%.</t>
  </si>
  <si>
    <t>El abastecimiento depende de que las vías del país estén abiertas: un paro detiene a la central y los precios reaccionan de inmediato.</t>
  </si>
  <si>
    <t>Corabastos, SDDE, DANE, camioneros</t>
  </si>
  <si>
    <t>Bogotá.gov.co, paro de camioneros (bogota.gov.co/mi-ciudad/desarrollo-economico/paro-de-camioneros-en-bogota-alzas-en-alimentos-y-perdidas-economicas); Portafolio; Pulzo</t>
  </si>
  <si>
    <t>Foto 1: acceso casi vacío. Foto 2: tablero de precios.</t>
  </si>
  <si>
    <t>fa-truck-fast</t>
  </si>
  <si>
    <t>NOD-S49</t>
  </si>
  <si>
    <t>Urgencias del Hospital de Kennedy con 321% de ocupación</t>
  </si>
  <si>
    <t>Hospital de Kennedy (Carrera 74)</t>
  </si>
  <si>
    <t>La Personería encontró 128% de sobreocupación en urgencias en 2017 y 321% en 2023; las personas permanecían más de un día. La torre de urgencias de 187 camas se entregó en mayo de 2023, después de 13 años.</t>
  </si>
  <si>
    <t>El servicio de salud de una localidad de más de 1 millón no tiene la capacidad para su demanda: el servicio no es robusto.</t>
  </si>
  <si>
    <t>Subred Sur Occidente, Secretaría de Salud, Personería</t>
  </si>
  <si>
    <t>Personería de Bogotá (ambitojuridico.com); Noticias RCN; Bogotá.gov.co, torre de urgencias; Publimetro, 9-may-2023</t>
  </si>
  <si>
    <t>Foto 1: sala de urgencias. Foto 2: nueva torre.</t>
  </si>
  <si>
    <t>fa-hospital</t>
  </si>
  <si>
    <t>NOD-S50</t>
  </si>
  <si>
    <t>Kennedy tiene 71 focos activos de basura, la cifra más alta de Bogotá</t>
  </si>
  <si>
    <t>Puntos críticos de residuos de Kennedy (representado en el sector de Castilla)</t>
  </si>
  <si>
    <t>En 2025 Kennedy tenía 71 focos de basura activos, el mayor número entre las localidades. En febrero de 2026 la Alcaldía Local informó 820 toneladas retiradas en operativos y más de 22.000 m² de espacio público recuperados en 18 puntos críticos.</t>
  </si>
  <si>
    <t>La localidad con más habitantes por kilómetro es también la que más residuos arroja a la calle: el sistema de recolección no cierra el ciclo.</t>
  </si>
  <si>
    <t>UAESP, Aguas de Bogotá, Alcaldía Local</t>
  </si>
  <si>
    <t>El Tiempo, focos de basura 2025; Bogotá.gov.co, recuperación de espacio público (bogota.gov.co/en/node/287936); Alcaldía Local de Kennedy, más de 22.000 m² de espacio público recuperados (gobiernobogota.gov.co/noticias/alcaldia-local-de-kennedy-ha-recuperado-mas-de-22-mil-metros-cuadrados-de-espacio-publico-afectados-por-residuos) (564 bodegas de reciclaje intervenidas y 18 puntos críticos atendidos)</t>
  </si>
  <si>
    <t>Foto 1: foco de basura. Foto 2: operativo de limpieza.</t>
  </si>
  <si>
    <t>fa-dumpster</t>
  </si>
  <si>
    <t>NOD-S51</t>
  </si>
  <si>
    <t>Un botadero de 12.000 m² en Jazmín Occidental con 45 a 55 toneladas</t>
  </si>
  <si>
    <t>Barrio Jazmín Occidental (ubicación aproximada)</t>
  </si>
  <si>
    <t>La UAESP reportó 51 toneladas de residuos recogidas en un operativo en Patio Bonito, El Jazmín y Bellavista (febrero de 2023), con 5 bodegas de reciclaje selladas. En septiembre de 2025 la prensa reportó entre 45 y 55 toneladas retiradas de un espacio de 12.000 m² en Jazmín Occidental, con bodegas informales desmanteladas cerca de obras del Metro (las cifras de las fuentes no coinciden).</t>
  </si>
  <si>
    <t>Donde falta formalización del reciclaje, el residuo se acumula y el espacio público se pierde: el metabolismo informal tiene costo urbano.</t>
  </si>
  <si>
    <t>UAESP, Alcaldía Local, recicladores</t>
  </si>
  <si>
    <t>Minuto60, operativo de residuos (minuto60.com); El Espectador; UAESP, 51 toneladas de residuos se recogieron durante operativo de limpieza en Kennedy (uaesp.gov.co/noticias/51-toneladas-residuos-se-recogieron-durante-operativo-limpieza-kennedy); Alcaldía Local de Kennedy, más de 22.000 m² de espacio público recuperados (gobiernobogota.gov.co/noticias/alcaldia-local-de-kennedy-ha-recuperado-mas-de-22-mil-metros-cuadrados-de-espacio-publico-afectados-por-residuos)</t>
  </si>
  <si>
    <t>Foto 1: lote con residuos. Foto 2: bodega desmantelada.</t>
  </si>
  <si>
    <t>fa-trash</t>
  </si>
  <si>
    <t>NOD-S52</t>
  </si>
  <si>
    <t>La ronda del Fucha en Andalucía estuvo más de diez años abandonada</t>
  </si>
  <si>
    <t>Ronda del río Fucha, sector Andalucía</t>
  </si>
  <si>
    <t>En agosto de 2025 se retiraron 110 toneladas de basura de la ronda, se recuperaron 4.500 m² y se sembraron 2.660 plantas. El acopio de material reciclable en las orillas hizo que parte terminara en el río.</t>
  </si>
  <si>
    <t>La ronda de un río funcionó como bodega informal de reciclaje: la economía popular y el cuerpo de agua compiten por el mismo espacio.</t>
  </si>
  <si>
    <t>EAAB, Alcaldía Local, recicladores</t>
  </si>
  <si>
    <t>El Espectador, 5-ago-2025 (elespectador.com/bogota/la-intervencion-que-retiro-mas-de-110-toneladas-de-basura-de-la-rona-del-rio-fucha); Bogotá.gov.co; Alcaldía Local de Kennedy, recupera 1.500 m² y retira 38 toneladas en el barrio Andalucía (gobiernobogota.gov.co/noticias/kennedy-recupera-1500-m2-espacio-publico)</t>
  </si>
  <si>
    <t>Foto 1: ronda antes de la intervención. Foto 2: ronda recuperada.</t>
  </si>
  <si>
    <t>NOD-S53</t>
  </si>
  <si>
    <t>Vertimientos directos al río Tunjuelo desde 20 establecimientos y una fábrica de sebo sellada</t>
  </si>
  <si>
    <t>Class Roma y rondas del Tunjuelo (ubicación aproximada)</t>
  </si>
  <si>
    <t>La Secretaría de Ambiente hizo seguimiento a 11 medidas preventivas en 20 establecimientos con vertimiento directo al Tunjuelo. En noviembre de 2025 se selló 10 días una fábrica de sebo y huesos en Class Roma por vertimientos de sangre y sebo al alcantarillado y malos olores.</t>
  </si>
  <si>
    <t>La industria menor externaliza su carga contaminante al río y al barrio: la regulación llega después del daño.</t>
  </si>
  <si>
    <t>Secretaría de Ambiente, Alcaldía Local, EAAB</t>
  </si>
  <si>
    <t>Bogotá.gov.co, cierre de fábrica en Kennedy (bogota.gov.co/mi-ciudad/gobierno/cierre-temporal-fabrica-procesadora-de-carnes-y-huesos-en-bogota); Secretaría de Ambiente</t>
  </si>
  <si>
    <t>Foto 1: descarga al río. Foto 2: sellos de cierre.</t>
  </si>
  <si>
    <t>fa-industry</t>
  </si>
  <si>
    <t>NOD-S54</t>
  </si>
  <si>
    <t>Kennedy registró las mayores concentraciones de PM2,5 en un estudio de la ciudad</t>
  </si>
  <si>
    <t>Estación de monitoreo de Kennedy (ubicación aproximada)</t>
  </si>
  <si>
    <t>Un estudio de 2014–2015 encontró a Kennedy con las mayores concentraciones de PM2,5 de la ciudad en todas las franjas horarias; la Secretaría de Ambiente asocia los episodios al tráfico de carga y transporte público y a industrias. En 2025 se reportó un pico de 120 µg/m³.</t>
  </si>
  <si>
    <t>Los flujos de carga y la industria exportan contaminación al aire que respiran más de 1 millón de personas.</t>
  </si>
  <si>
    <t>Secretaría de Ambiente (RMCAB), Secretaría de Salud</t>
  </si>
  <si>
    <t>Universidad de Antioquia / DOAJ (doaj.org/article/e8ae4b43deb84cac8e915b7536f61dd3); Bogotá.gov.co (calidad del aire); Infobae, sep-2025</t>
  </si>
  <si>
    <t>Foto 1: estación de monitoreo. Foto 2: tráfico pesado en la avenida.</t>
  </si>
  <si>
    <t>fa-smog</t>
  </si>
  <si>
    <t>NOD-S55</t>
  </si>
  <si>
    <t>Kennedy concentra 7 zonas críticas de ruido entre 70 y 80 dB</t>
  </si>
  <si>
    <t>Av. de las Américas, Av. Primero de Mayo y Kennedy Central</t>
  </si>
  <si>
    <t>La Secretaría de Ambiente ubicó en Kennedy 7 sectores críticos de ruido (70 a 80 dB), entre ellos la Av. de las Américas entre la Carrera 68B y la Av. Boyacá, la Av. Primero de Mayo y Patio Bonito. En 2025–2026 hubo 750 quejas por ruido, la segunda cifra de la ciudad.</t>
  </si>
  <si>
    <t>La actividad nocturna y el tráfico generan un ruido que el territorio no regula: el recurso silencio se agota.</t>
  </si>
  <si>
    <t>Secretaría de Ambiente, Alcaldía Local, Veeduría Distrital</t>
  </si>
  <si>
    <t>Bogotá.gov.co, puntos críticos de ruido (bogota.gov.co/mi-ciudad/ambiente/conozca-los-puntos-criticos-por-causa-del-ruido-en-la-capital); Veeduría, abr-2026</t>
  </si>
  <si>
    <t>Foto 1: avenida con bares. Foto 2: sonómetro en un punto crítico.</t>
  </si>
  <si>
    <t>fa-volume-high</t>
  </si>
  <si>
    <t>NOD-S56</t>
  </si>
  <si>
    <t>Cortes de agua en El Tintal y otros barrios por el daño de una tubería</t>
  </si>
  <si>
    <t>El Tintal y barrios vecinos</t>
  </si>
  <si>
    <t>La EAAB ha atendido daños imprevistos de tubería que suspendieron el agua en Kennedy: noviembre de 2021 (tubería de 24 pulgadas, entre la calle 6 y la 16C, barrios Tintal, Castilla y Villa Mejía), abril de 2023 (Av. Calle 6 con Carrera 89B, barrio Tintal) y diciembre de 2025 (Av. Américas con Carrera 78: desde la calle 9 hasta la 43 Sur, incluidos Tintalá y Tintalito, con Acualínea 116 y carrotanques).</t>
  </si>
  <si>
    <t>Una falla local deja sin agua a varios barrios a la vez: la red de acueducto no tiene alternativas de suministro.</t>
  </si>
  <si>
    <t>EAAB</t>
  </si>
  <si>
    <t>El Espectador (elespectador.com/bogota/kennedy-sin-agua-acueducto-bogota-informa-puntos-y-cuando-se-restablecera-el-servicio); Alcaldía de Bogotá y EAAB, daños imprevistos de tubería en Kennedy: Av. Américas con Carrera 78 (diciembre de 2025) y barrio Tintal (abril de 2023) (bogota.gov.co/mi-ciudad/habitat/acueducto-de-bogota-atiende-dano-imprevisto-en-localidad-de-kennedy; bogota.gov.co/mi-ciudad/habitat/acueducto-de-bogota-atiende-contingencia-en-tuberia-en-kennedy)</t>
  </si>
  <si>
    <t>Foto 1: tubería dañada. Foto 2: carrotanque.</t>
  </si>
  <si>
    <t>fa-faucet</t>
  </si>
  <si>
    <t>NOD-S57</t>
  </si>
  <si>
    <t>El Tintal necesitó un canal pluvial de 2,27 km por $50.000 millones</t>
  </si>
  <si>
    <t>Sector El Tintal</t>
  </si>
  <si>
    <t>En 2021 se invertían $50.000 millones en un canal de aguas lluvias de 2,27 km, de 5,70 m de ancho por 3,20 m de alto, que descarga al Canal Cundinamarca.</t>
  </si>
  <si>
    <t>El sector creció sin capacidad para evacuar la lluvia y la solución llega después, a gran costo.</t>
  </si>
  <si>
    <t>Metro de Bogotá / EAAB boletín (metrodebogota.gov.co); Bogotá.gov.co, 2021</t>
  </si>
  <si>
    <t>Foto 1: obra del canal. Foto 2: tramo terminado.</t>
  </si>
  <si>
    <t>fa-cloud-showers-heavy</t>
  </si>
  <si>
    <t>NOD-S58</t>
  </si>
  <si>
    <t>Los canales de Castilla, Calle 38 Sur, Américas y Tintal II requieren limpieza de sedimentos</t>
  </si>
  <si>
    <t>Canales de Castilla y Calle 38 Sur</t>
  </si>
  <si>
    <t>La Alcaldía reportó trabajos de limpieza y retiro de sedimentos en el río Fucha y en los canales de Castilla, Calle 38 Sur, Américas y El Tintal II (nota de 2017).</t>
  </si>
  <si>
    <t>Los canales que sostienen el drenaje se llenan de sedimento y residuos: pierden capacidad justo cuando llueve.</t>
  </si>
  <si>
    <t>EAAB, Alcaldía Local</t>
  </si>
  <si>
    <t>Bogotá.gov.co, limpieza de canales y ríos (bogota.gov.co/mi-ciudad/ambiente/limpieza-de-canales-y-rios-en-bogota)</t>
  </si>
  <si>
    <t>Foto 1: canal con sedimento. Foto 2: limpieza mecánica.</t>
  </si>
  <si>
    <t>fa-filter</t>
  </si>
  <si>
    <t>NOD-S59</t>
  </si>
  <si>
    <t>El antiguo botadero Gibraltar mantiene lixiviados junto a Ciudadela El Porvenir</t>
  </si>
  <si>
    <t>Parque Metropolitano Gibraltar (límite Bosa–Kennedy)</t>
  </si>
  <si>
    <t>La Contraloría de Bogotá advirtió en 2005 una importante acumulación de lixiviados en el talud oriental del antiguo botadero Gibraltar (operó desde 1979 hasta noviembre de 1988), junto al proyecto de vivienda de interés social Ciudadela El Porvenir, con riesgo para la salud de los habitantes. Al iniciar la obra del parque en 2024 el IDRD halló basuras a menos de 1,80 m de profundidad. El oficio ubica el botadero en la localidad de Bosa; el sitio queda en el límite con Kennedy.</t>
  </si>
  <si>
    <t>Un pasivo ambiental de la gestión de residuos de la ciudad quedó como borde habitado: el riesgo recae en los barrios vecinos.</t>
  </si>
  <si>
    <t>Contraloría de Bogotá, IDRD, EAAB, SDA</t>
  </si>
  <si>
    <t>Contraloría de Bogotá, Control de Advertencia "Lixiviados Proyecto El Porvenir", oficio 31000-14205 del 24 de junio de 2005 (portal1.contraloriabogota.gov.co); IDRD, Velódromo y Manzana del Cuidado Gibraltar (idrd.gov.co/noticias/velodromo-y-manzana-del-cuidado-gibraltar-seran-una-realidad-en-bogota)</t>
  </si>
  <si>
    <t>Foto 1: parque sobre el antiguo botadero. Foto 2: monitoreo de gases o lixiviados.</t>
  </si>
  <si>
    <t>fa-dumpster-fire</t>
  </si>
  <si>
    <t>NOD-S60</t>
  </si>
  <si>
    <t>Un aguacero inundó el Hospital de Kennedy</t>
  </si>
  <si>
    <t>Síntoma · Metabolismo · Redes</t>
  </si>
  <si>
    <t>Prensa; contexto de riesgo documentado (verificar el evento con la Subred Sur Occidente)</t>
  </si>
  <si>
    <t>Hospital de Kennedy</t>
  </si>
  <si>
    <t>La FM reportó que un torrencial aguacero inundó el Hospital de Kennedy (la fecha de la nota debe verificarse).</t>
  </si>
  <si>
    <t>Un servicio crítico queda expuesto a inundación en una localidad con 35% de territorio inundable.</t>
  </si>
  <si>
    <t>Subred Sur Occidente, EAAB</t>
  </si>
  <si>
    <t>La FM (lafm.com.co/bogota/video-torrencial-aguacero-inundo-el-hospital-de-kennedy-en-bogota); Secretaría Distrital de Salud, Observatorio de Salud, ASIS Localidad Kennedy 2024 (saludata.saludcapital.gov.co/osb/wp-content/uploads/2026/01/8.-ASIS_Kennedy_2024.pdf) (la inundación es el principal riesgo del plan local de emergencias de Kennedy); no se encontró comunicado oficial del evento en el hospital</t>
  </si>
  <si>
    <t>Foto 1: urgencias con agua. Foto 2: obra de drenaje.</t>
  </si>
  <si>
    <t>NOD-S61</t>
  </si>
  <si>
    <t>Los recicladores acopian material en las orillas de los ríos</t>
  </si>
  <si>
    <t>Orillas del río Fucha y canales de Kennedy</t>
  </si>
  <si>
    <t>El Espectador documenta que el acopio de material reciclable en las orillas del Fucha hizo que buena parte terminara en el cauce y elevó la contaminación del río.</t>
  </si>
  <si>
    <t>Sin sedes de acopio formales, la economía del reciclaje ocupa las rondas: ingreso para el reciclador, contaminación para el río.</t>
  </si>
  <si>
    <t>Recicladores, EAAB, UAESP</t>
  </si>
  <si>
    <t>El Espectador, 5-ago-2025; Alcaldía Local de Kennedy, más de 22.000 m² de espacio público recuperados (gobiernobogota.gov.co/noticias/alcaldia-local-de-kennedy-ha-recuperado-mas-de-22-mil-metros-cuadrados-de-espacio-publico-afectados-por-residuos) (564 bodegas de reciclaje intervenidas); Alcaldía Local de Kennedy, recupera 1.500 m² y retira 38 toneladas en el barrio Andalucía (gobiernobogota.gov.co/noticias/kennedy-recupera-1500-m2-espacio-publico)</t>
  </si>
  <si>
    <t>Foto 1: acopio en la ronda. Foto 2: reciclador en el canal.</t>
  </si>
  <si>
    <t>fa-boxes-stacked</t>
  </si>
  <si>
    <t>NOD-E01</t>
  </si>
  <si>
    <t>Riesgo de desabastecimiento por depender de una sola central</t>
  </si>
  <si>
    <t>Efecto · Economía · Redes</t>
  </si>
  <si>
    <t>Cuando se bloquean los accesos o hay paro camionero, la oferta de la central baja y los precios suben: lo reportaron los comerciantes de Corabastos durante el paro camionero.</t>
  </si>
  <si>
    <t>Pasa de síntoma a pérdida real: la red de abastecimiento no es robusta porque no tiene un segundo punto de entrada.</t>
  </si>
  <si>
    <t>El Tiempo, paro camionero y Corabastos (eltiempo.com/bogota/precios-por-las-nubes-y-escasez-de-alimentos-asi-viven-los-comerciantes-de-corabastos-las-afectaciones-del-paro-camionero-en-bogota-3378480); Alcaldía de Bogotá, Paro de camioneros en Bogotá ya genera alzas en alimentos y pérdidas económicas (bogota.gov.co/mi-ciudad/desarrollo-economico/paro-de-camioneros-en-bogota-alzas-en-alimentos-y-perdidas-economicas)</t>
  </si>
  <si>
    <t>Foto 1: puestos con poca oferta. Foto 2: camiones detenidos.</t>
  </si>
  <si>
    <t>fa-box-open</t>
  </si>
  <si>
    <t>NOD-E02</t>
  </si>
  <si>
    <t>Tráfico pesado sobre vías de borde de la central</t>
  </si>
  <si>
    <t>Efecto · Redes</t>
  </si>
  <si>
    <t>Inferido (verificar en campo)</t>
  </si>
  <si>
    <t>Av. Agoberto Mejía / Calle 38 Sur</t>
  </si>
  <si>
    <t>Los vehículos de carga comparten la Av. Agoberto Mejía y la Calle 38 Sur con el tránsito local, sobre calzadas deterioradas.</t>
  </si>
  <si>
    <t>Cada camión retrasado en el borde de la central retrasa también a los buses zonales y al peatón: el flujo de carga y el de personas compiten por la misma vía.</t>
  </si>
  <si>
    <t>IDU 2025 (petición Calle 38 Sur); Alcaldía 2020</t>
  </si>
  <si>
    <t>Foto 1: camión en vía local. Foto 2: cruce con peatones.</t>
  </si>
  <si>
    <t>NOD-E03</t>
  </si>
  <si>
    <t>Ingresos inestables y sin seguridad social</t>
  </si>
  <si>
    <t>Efecto · Economía</t>
  </si>
  <si>
    <t>Quien trabaja en informalidad no cotiza a salud ni pensión y su ingreso depende de cada día de trabajo.</t>
  </si>
  <si>
    <t>La economía local crece en población pero no en protección: un mes malo afecta al hogar completo.</t>
  </si>
  <si>
    <t>Alcaldía de Bogotá, ficha Kennedy 2026</t>
  </si>
  <si>
    <t>Foto 1: vendedor ambulante. Foto 2: hogar de Patio Bonito.</t>
  </si>
  <si>
    <t>fa-wallet</t>
  </si>
  <si>
    <t>NOD-E04</t>
  </si>
  <si>
    <t>Ingresos del borde de la central dependen de que la central no se detenga</t>
  </si>
  <si>
    <t>Borde de Corabastos</t>
  </si>
  <si>
    <t>Cargueros, vendedores y recicladores del entorno viven de la actividad diaria de la central: si hay paro, bloqueo o cierre, el ingreso cae ese mismo día.</t>
  </si>
  <si>
    <t>La economía popular del sector no tiene colchón: depende de un único nodo que no controla.</t>
  </si>
  <si>
    <t>Alcaldía de Bogotá, ficha Kennedy 2026 (informalidad); El Tiempo, paro camionero (eltiempo.com)</t>
  </si>
  <si>
    <t>Foto 1: cargueros en el acceso. Foto 2: vendedores en el borde.</t>
  </si>
  <si>
    <t>NOD-E05</t>
  </si>
  <si>
    <t>Recicladores con ingresos bajos por volumen fragmentado</t>
  </si>
  <si>
    <t>Barrios alrededor de Corabastos</t>
  </si>
  <si>
    <t>Con 147 bodegas, cada una recupera poco material; eso encarece la operación y reduce el pago a los recicladores.</t>
  </si>
  <si>
    <t>La riqueza del residuo se pierde en la dispersión: se agota el recurso sin que el ingreso llegue a quien lo recupera.</t>
  </si>
  <si>
    <t>Artículo con datos UAESP 2012 (revistas.lasalle.edu.co/index.php/ai/article/view/3369)</t>
  </si>
  <si>
    <t>Foto 1: reciclador con carreta. Foto 2: material clasificado.</t>
  </si>
  <si>
    <t>NOD-E06</t>
  </si>
  <si>
    <t>Material reciclado sin trazabilidad ni venta formal</t>
  </si>
  <si>
    <t>Efecto · Economía · Innovación</t>
  </si>
  <si>
    <t>Kennedy</t>
  </si>
  <si>
    <t>Con 79% de informalidad estimada, el material recuperado no se registra ni se vende como cadena formal.</t>
  </si>
  <si>
    <t>Sin registro no se pueden medir toneladas, ni acceder a incentivos ni financiar mejoras: la innovación en reciclaje no tiene datos con qué empezar.</t>
  </si>
  <si>
    <t>UAESP citada en tesis 2023</t>
  </si>
  <si>
    <t>Foto 1: pesaje informal. Foto 2: bodega sin registro.</t>
  </si>
  <si>
    <t>fa-barcode</t>
  </si>
  <si>
    <t>NOD-E07</t>
  </si>
  <si>
    <t>Estudiantes sin conexión estable para hacer tareas</t>
  </si>
  <si>
    <t>Efecto · Innovación</t>
  </si>
  <si>
    <t>Las familias pagaban datos móviles para que los niños hicieran las tareas escolares.</t>
  </si>
  <si>
    <t>El costo de conectarse compite con la comida y el transporte: el aprendizaje queda sujeto al saldo del celular.</t>
  </si>
  <si>
    <t>Publimetro, 27-ene-2026; Secretaría Distrital de la Mujer, Diagnóstico local Kennedy 2020 (conectividad de los hogares con jefatura femenina)</t>
  </si>
  <si>
    <t>Foto 1: niño con celular. Foto 2: tarea en la mesa.</t>
  </si>
  <si>
    <t>NOD-E08</t>
  </si>
  <si>
    <t>Menos acceso a empleo digital y cursos de emprendimiento</t>
  </si>
  <si>
    <t>Efecto · Innovación · Economía</t>
  </si>
  <si>
    <t>La población vulnerable tiene dificultad para acceder a empleos digitales de calidad; el programa Conexión Social agrega una plataforma con cursos de emprendimiento y trabajo.</t>
  </si>
  <si>
    <t>Quien no tiene conexión queda fuera de los cursos y de las ofertas: la brecha digital se vuelve brecha de ingresos.</t>
  </si>
  <si>
    <t>Alcaldía de Bogotá, certificación laboral; ImpactoTIC 2026</t>
  </si>
  <si>
    <t>Foto 1: aula de formación. Foto 2: persona en curso en línea.</t>
  </si>
  <si>
    <t>fa-laptop</t>
  </si>
  <si>
    <t>NOD-E09</t>
  </si>
  <si>
    <t>El 35% de la fracción orgánica de Corabastos no se aprovecha</t>
  </si>
  <si>
    <t>Efecto · Metabolismo · Innovación</t>
  </si>
  <si>
    <t>De la parte orgánica de los residuos de la central solo se usa el 65%; el resto no se aprovecha.</t>
  </si>
  <si>
    <t>Cada tonelada sin tratar es transporte, disposición y emisiones que podrían evitarse con compostaje o biodigestión.</t>
  </si>
  <si>
    <t>PNUD y Secretaría Distrital de Ambiente, Gestión de los residuos orgánicos en las plazas de mercado de Bogotá (oab2.ambientebogota.gov.co); CONtexto Ganadero (UT Residuos Verdes)</t>
  </si>
  <si>
    <t>Foto 1: residuos acumulados. Foto 2: camión recolector.</t>
  </si>
  <si>
    <t>fa-trash-can</t>
  </si>
  <si>
    <t>NOD-E10</t>
  </si>
  <si>
    <t>Compost y biogás que no se producen</t>
  </si>
  <si>
    <t>Una tesis de la Universidad EAN (2023) propone un biodigestor dentro de la central para generar biogás; sin esa infraestructura, el valor energético y agrícola del residuo sale como desecho.</t>
  </si>
  <si>
    <t>Oportunidad económica perdida: el residuo de la central podría abastecer insumos o energía a la propia localidad.</t>
  </si>
  <si>
    <t>Universidad EAN 2023 (repository.universidadean.edu.co)</t>
  </si>
  <si>
    <t>Foto 1: biodigestor de referencia. Foto 2: montones de residuo.</t>
  </si>
  <si>
    <t>fa-fire-flame-simple</t>
  </si>
  <si>
    <t>NOD-E11</t>
  </si>
  <si>
    <t>Vectores y olores en el humedal La Vaca</t>
  </si>
  <si>
    <t>Efecto · Metabolismo</t>
  </si>
  <si>
    <t>Humedal La Vaca</t>
  </si>
  <si>
    <t>El compostaje artesanal atrae vectores y produce olores en un humedal rodeado de barrios.</t>
  </si>
  <si>
    <t>Un problema de gestión de residuos se convierte en problema de salud ambiental para quienes viven al lado.</t>
  </si>
  <si>
    <t>Tesis UAN 2021</t>
  </si>
  <si>
    <t>Foto 1: pila de material vegetal. Foto 2: vecino junto al humedal.</t>
  </si>
  <si>
    <t>fa-bug</t>
  </si>
  <si>
    <t>NOD-E12</t>
  </si>
  <si>
    <t>Uso de químicos para controlar olores dentro de un humedal</t>
  </si>
  <si>
    <t>Para controlar los olores del compostaje se usan químicos en un ecosistema que debería depurar el agua.</t>
  </si>
  <si>
    <t>El remedio agrega contaminación al sistema que se quiere recuperar.</t>
  </si>
  <si>
    <t>Foto 1: aplicación de químicos. Foto 2: agua del humedal.</t>
  </si>
  <si>
    <t>fa-flask</t>
  </si>
  <si>
    <t>NOD-E13</t>
  </si>
  <si>
    <t>Recicladores sin una sede formal en la localidad con más bodegas</t>
  </si>
  <si>
    <t>La Alquería</t>
  </si>
  <si>
    <t>Con el centro de La Alquería cerrado, los recicladores de Kennedy no cuentan con ese punto formal para acopiar y vender.</t>
  </si>
  <si>
    <t>Se pierde el lugar donde la formalización y la capacitación podían ocurrir.</t>
  </si>
  <si>
    <t>Tesis 2023; Las2orillas</t>
  </si>
  <si>
    <t>Foto 1: reciclador en la calle. Foto 2: fachada cerrada.</t>
  </si>
  <si>
    <t>NOD-E14</t>
  </si>
  <si>
    <t>Infraestructura pública deteriorada por abandono</t>
  </si>
  <si>
    <t>El centro, que fue el primero de la ciudad, está cerrado indefinidamente y con infraestructura deteriorada.</t>
  </si>
  <si>
    <t>Una inversión pública pierde valor cada año que permanece sin uso.</t>
  </si>
  <si>
    <t>Tesis 2023 (repository.ugc.edu.co/handle/11396/8008)</t>
  </si>
  <si>
    <t>Foto 1: fachada. Foto 2: patio.</t>
  </si>
  <si>
    <t>fa-building</t>
  </si>
  <si>
    <t>NOD-E15</t>
  </si>
  <si>
    <t>Se pierde comida mientras hay hogares con inseguridad alimentaria</t>
  </si>
  <si>
    <t>Efecto · Economía · Metabolismo</t>
  </si>
  <si>
    <t>Bogotá pierde o desperdicia alrededor de 1,2 millones de t de alimentos al año; en el país casi un tercio de los hogares vive en inseguridad alimentaria grave o moderada.</t>
  </si>
  <si>
    <t>El excedente existe pero no llega a quien lo necesita: el flujo de alimentos es abundante y a la vez poco accesible.</t>
  </si>
  <si>
    <t>Alcaldía de Bogotá (DNP); EFE, oct-2023</t>
  </si>
  <si>
    <t>Foto 1: alimentos descartados. Foto 2: entrega a comedor comunitario.</t>
  </si>
  <si>
    <t>fa-utensils</t>
  </si>
  <si>
    <t>NOD-E16</t>
  </si>
  <si>
    <t>Retrasos de hasta 30 minutos en la Troncal Américas</t>
  </si>
  <si>
    <t>Por obras en el corredor, TransMilenio informó retrasos de hasta 30 minutos en el servicio.</t>
  </si>
  <si>
    <t>Quienes viven en Kennedy gastan tiempo y dinero extra en cada viaje al trabajo: la red de transporte no es robusta.</t>
  </si>
  <si>
    <t>Bogotá.gov.co, 3-jun-2025</t>
  </si>
  <si>
    <t>Foto 1: estación llena. Foto 2: tablero de servicio con demora.</t>
  </si>
  <si>
    <t>fa-clock</t>
  </si>
  <si>
    <t>NOD-E17</t>
  </si>
  <si>
    <t>Accidentes y siniestros viales sobre la avenida</t>
  </si>
  <si>
    <t>Av. Ciudad de Cali con Calle 6D (Biblioteca El Tintal)</t>
  </si>
  <si>
    <t>En agosto de 2025 un siniestro vial en la Av. Ciudad de Cali con Calle 6D, junto a la Biblioteca El Tintal, generó gran congestión.</t>
  </si>
  <si>
    <t>Un incidente aislado colapsa un tramo entero: no hay vías alternas que absorban el flujo.</t>
  </si>
  <si>
    <t>Bogotá.gov.co, movilidad 1-ago-2025</t>
  </si>
  <si>
    <t>Foto 1: siniestro en la avenida. Foto 2: congestión posterior.</t>
  </si>
  <si>
    <t>fa-car-burst</t>
  </si>
  <si>
    <t>NOD-E18</t>
  </si>
  <si>
    <t>Calzadas deterioradas encarecen y frenan la carga y las rutas zonales</t>
  </si>
  <si>
    <t>Efecto · Redes · Economía</t>
  </si>
  <si>
    <t>Calle 38 Sur</t>
  </si>
  <si>
    <t>La Calle 38 Sur está descrita como "una completa trocha" entre Corabastos y la Av. Ciudad de Cali.</t>
  </si>
  <si>
    <t>El tramo final de la cadena de abastecimiento es el más lento y el que más desgasta vehículos.</t>
  </si>
  <si>
    <t>IDU, respuesta a petición, enero 2025</t>
  </si>
  <si>
    <t>Foto 1: huecos en la vía. Foto 2: vehículo atascado.</t>
  </si>
  <si>
    <t>fa-road-circle-exclamation</t>
  </si>
  <si>
    <t>NOD-E19</t>
  </si>
  <si>
    <t>Rutas zonales desviadas</t>
  </si>
  <si>
    <t>Una manifestación en la Av. Ciudad de Cali con Calle 38 Sur obligó a desviar rutas zonales.</t>
  </si>
  <si>
    <t>Los barrios dependen de una sola avenida: cuando se cierra, quedan sin servicio.</t>
  </si>
  <si>
    <t>Bogotá.gov.co, 20-ago-2025</t>
  </si>
  <si>
    <t>Foto 1: bus desviado. Foto 2: usuarios esperando.</t>
  </si>
  <si>
    <t>NOD-E20</t>
  </si>
  <si>
    <t>Portal Américas cerrado temporalmente</t>
  </si>
  <si>
    <t>Las manifestaciones en Patio Bonito y las obras del Metro han llevado a cerrar temporalmente el portal y varias estaciones.</t>
  </si>
  <si>
    <t>El principal acceso al transporte masivo del occidente de Kennedy queda inutilizado por periodos: es un punto único de falla.</t>
  </si>
  <si>
    <t>Publimetro, 1-sep-2026 y 6-nov-2025; TransMilenio S.A., Novedades operativas en el Portal Américas y estación Biblioteca Tintal por obras Metro (transmilenio.gov.co/publicaciones/154711/novedades-operativas-en-el-portal-americas-y-estacion-biblioteca-tintal-por-obras-metro)</t>
  </si>
  <si>
    <t>Foto 1: portal con cierre. Foto 2: usuarios buscando alternativa.</t>
  </si>
  <si>
    <t>NOD-E21</t>
  </si>
  <si>
    <t>Capacidad del sistema reducida durante las obras del Metro</t>
  </si>
  <si>
    <t>Estación Biblioteca Tintal</t>
  </si>
  <si>
    <t>La estación Biblioteca Tintal y el Portal Américas cierran por tramos mientras avanza la Línea 1 (75,5% a abril de 2026; operación prevista en 2028).</t>
  </si>
  <si>
    <t>La transición hacia una mejor red cuesta años de servicio reducido para quienes más lo usan.</t>
  </si>
  <si>
    <t>Publimetro, 6-nov-2025; Bogotá.gov.co, avance Línea 1</t>
  </si>
  <si>
    <t>Foto 1: obra del viaducto. Foto 2: estación cerrada.</t>
  </si>
  <si>
    <t>fa-gauge-simple</t>
  </si>
  <si>
    <t>NOD-E22</t>
  </si>
  <si>
    <t>Sectores separados, unidos solo por un box culvert de aguas negras</t>
  </si>
  <si>
    <t>Los dos sectores del humedal, separados por la Av. Ciudad de Cali, ya no funcionan como un solo cuerpo de agua: según la SDA solo los conecta un box culvert por el que pasan aguas negras en sentido oriente–occidente.</t>
  </si>
  <si>
    <t>Se pierde la función de regulación del humedal y su capacidad de recuperarse.</t>
  </si>
  <si>
    <t>Secretaría Distrital de Ambiente, informes de gestión RDH El Burro 2021 y 2022 (ambientebogota.gov.co); Pinilla et al. (2024), Sociedad y Economía, 51</t>
  </si>
  <si>
    <t>Foto 1: avenida sobre el humedal. Foto 2: box culvert.</t>
  </si>
  <si>
    <t>fa-dove</t>
  </si>
  <si>
    <t>NOD-E23</t>
  </si>
  <si>
    <t>El Burro conserva una fracción de lo que fue</t>
  </si>
  <si>
    <t>Los humedales de Bogotá perdieron en promedio 84,52% de su superficie de agua entre 1950 y 2016 (estimación con cartografía IGAC y EAAB). El Burro quedó en 18,8 ha de área legal, de las cuales 0,2 ha son espejo de agua.</t>
  </si>
  <si>
    <t>Menos espacio para absorber lluvias y para el hábitat: el barrio queda más expuesto a inundaciones.</t>
  </si>
  <si>
    <t>García-Ubaque, C. A., Ladino-Moreno, E. O. y Zamudio-Huertas, E. (2020). Estudio exploratorio de la disminución de áreas de humedales en Bogotá por actividad constructiva: 1950–2016. Revista Facultad de Ingeniería UPTC, 29(54); Secretaría Distrital de Ambiente, PMA del humedal El Burro</t>
  </si>
  <si>
    <t>Foto 1: foto histórica del humedal. Foto 2: borde urbano actual.</t>
  </si>
  <si>
    <t>fa-chart-pie</t>
  </si>
  <si>
    <t>NOD-E24</t>
  </si>
  <si>
    <t>La Vaca quedó en dos fragmentos con poca área libre</t>
  </si>
  <si>
    <t>El humedal quedó dividido en dos fragmentos (5,72 y unas 2,24 ha) separados por barrios, con poca área libre para almacenar agua.</t>
  </si>
  <si>
    <t>Una crecida encuentra menos espacio y se desplaza a calles y viviendas del entorno.</t>
  </si>
  <si>
    <t>Javeriana y EAAB, PMA del humedal La Vaca, 2008</t>
  </si>
  <si>
    <t>Foto 1: borde con vivienda. Foto 2: sector sur.</t>
  </si>
  <si>
    <t>NOD-E25</t>
  </si>
  <si>
    <t>Residuos y aguas negras entran al drenaje y a los humedales</t>
  </si>
  <si>
    <t>Humedales La Vaca y Techo</t>
  </si>
  <si>
    <t>Los residuos llegan a los sumideros y al humedal: desde 2020 la EAAB ha retirado 732 toneladas de residuos sólidos y 125 de escombros de La Vaca. Una conexión errada lleva aguas residuales a las tuberías de aguas lluvias.</t>
  </si>
  <si>
    <t>El sistema que debía evacuar la lluvia se tapa y se contamina: sube el riesgo de encharcamiento.</t>
  </si>
  <si>
    <t>Alcaldía de Bogotá (bogota.gov.co/en/node/258831); EAAB, explicación de conexiones erradas (bogota.gov.co/mi-ciudad/habitat/acueducto-cierra-conexiones-de-agua-que-contaminaban-rios-de-bogota)</t>
  </si>
  <si>
    <t>Foto 1: sumidero tapado. Foto 2: descarga en el humedal.</t>
  </si>
  <si>
    <t>NOD-E26</t>
  </si>
  <si>
    <t>Casi la mitad del humedal de Techo está afectada por ocupación</t>
  </si>
  <si>
    <t>El nivel de afectación por ocupación equivale al 44,1% del área del humedal (PMA 2023, citado por Las2orillas). La Secretaría de Ambiente suspendió construcciones en Lagos de Castilla y en 2025 se incautó maquinaria usada para modificar ilegalmente el área de protección.</t>
  </si>
  <si>
    <t>La ocupación reduce un servicio de regulación que no se puede reconstruir fácilmente.</t>
  </si>
  <si>
    <t>Secretaría Distrital de Ambiente, Resolución 02924 de 2023; Las2orillas (las2orillas.co/?p=919631); Bogotá.gov.co, suspensión de construcción en Techo</t>
  </si>
  <si>
    <t>Foto 1: sector ocupado. Foto 2: mapa de ocupación.</t>
  </si>
  <si>
    <t>fa-compress</t>
  </si>
  <si>
    <t>NOD-E27</t>
  </si>
  <si>
    <t>Aguas contaminadas llegan a los ríos Fucha y Bogotá</t>
  </si>
  <si>
    <t>Cuenca del Fucha</t>
  </si>
  <si>
    <t>Una conexión errada lleva aguas residuales a las tuberías de aguas lluvias, que descargan en ríos y humedales.</t>
  </si>
  <si>
    <t>La contaminación de la central y de los barrios sale del territorio y se acumula aguas abajo.</t>
  </si>
  <si>
    <t>EAAB (conexiones erradas)</t>
  </si>
  <si>
    <t>Foto 1: descarga al río. Foto 2: muestra de agua.</t>
  </si>
  <si>
    <t>NOD-E28</t>
  </si>
  <si>
    <t>Desbordamiento del Fucha en La Igualdad</t>
  </si>
  <si>
    <t>Barrio La Igualdad</t>
  </si>
  <si>
    <t>El tramo del río Fucha en La Igualdad es uno de los 107 puntos críticos de Bogotá por riesgo de desbordamiento.</t>
  </si>
  <si>
    <t>Las viviendas junto al río quedan expuestas a pérdidas cuando llueve fuerte.</t>
  </si>
  <si>
    <t>Bogotá.gov.co, operativos de inundación</t>
  </si>
  <si>
    <t>Foto 1: río en crecida. Foto 2: viviendas junto a la ronda.</t>
  </si>
  <si>
    <t>NOD-E29</t>
  </si>
  <si>
    <t>Inundaciones históricas en Patio Bonito</t>
  </si>
  <si>
    <t>Documentado (prensa que cita un libro)</t>
  </si>
  <si>
    <t>Según una crónica que cita el libro Las haciendas de la Sabana, el 21 de noviembre de 1979 Patio Bonito ya era zona de desastre por inundación; el sector fue zona de haciendas llamada Los Pantanos, loteada en 1972, y barrios encharcables hicieron parte del lecho del río Bogotá.</t>
  </si>
  <si>
    <t>El barrio que nació junto a la central se construyó sobre suelo inundable: el riesgo se hereda.</t>
  </si>
  <si>
    <t>El Espectador, "De Patio Bonito a la Chucua" (elespectador.com/bogota/de-patio-bonito-a-la-chucua-article-316468), que cita a C. Pardo Umaña, Las haciendas de la Sabana; IDIGER, Inundaciones en Bogotá: causas y zonas de riesgo (idiger.gov.co/escenarios-de-riesgo/inundacion/en-bogota) (historial de inundaciones; en diciembre de 2011 el reflujo del Fucha inundó las partes bajas de Kennedy y Bosa)</t>
  </si>
  <si>
    <t>Foto 1: foto histórica de la inundación. Foto 2: barrio actual.</t>
  </si>
  <si>
    <t>fa-clock-rotate-left</t>
  </si>
  <si>
    <t>NOD-E30</t>
  </si>
  <si>
    <t>Calor superficial de hasta 33 °C con 78% de suelo sellado (dato del grupo; por contrastar)</t>
  </si>
  <si>
    <t>Centro de Kennedy</t>
  </si>
  <si>
    <t>La memoria del grupo registra 78,4% de suelo cubierto por asfalto y concreto y temperaturas superficiales de 28,5 a 33,2 °C. La nota técnica de la SDA sobre el efecto isla de calor (temperatura del aire, 45 estaciones, 2008–2018) ubica el mayor efecto en Bosa, Ciudad Bolívar, Los Mártires, Tunjuelito y Rafael Uribe, y Kennedy no figura entre ellas: la temperatura superficial y la del aire no son comparables.</t>
  </si>
  <si>
    <t>Menos sombra y más calor en barrios que ya tienen pocas zonas verdes (dato del grupo; contrastar con fuente oficial).</t>
  </si>
  <si>
    <t>Memoria técnica Corte II del grupo; Secretaría Distrital de Ambiente, nota técnica sobre arbolado urbano y efecto isla de calor (oab.ambientebogota.gov.co/descargar/29103); Aragón et al. (2020), Geographicalia, temperatura superficial con Landsat 8 en la Sabana de Bogotá (papiro.unizar.es/ojs/index.php/geographicalia/article/view/4571)</t>
  </si>
  <si>
    <t>Foto 1: imagen térmica o mapa. Foto 2: calle sin arbolado.</t>
  </si>
  <si>
    <t>fa-temperature-high</t>
  </si>
  <si>
    <t>NOD-E31</t>
  </si>
  <si>
    <t>Menor oxígeno en el agua del borde de la central</t>
  </si>
  <si>
    <t>Humedal La Vaca, borde de Corabastos</t>
  </si>
  <si>
    <t>Con DBO₅ superior a 180 mg/L en los canales de vertimiento, el agua pierde oxígeno y favorece bacterias como E. coli (dato del grupo).</t>
  </si>
  <si>
    <t>Menos oxígeno significa menos vida acuática y un humedal menos capaz de limpiar el agua.</t>
  </si>
  <si>
    <t>Memoria técnica Corte II del grupo</t>
  </si>
  <si>
    <t>Foto 1: canal junto a la central. Foto 2: toma de muestra.</t>
  </si>
  <si>
    <t>fa-lungs</t>
  </si>
  <si>
    <t>NOD-E32</t>
  </si>
  <si>
    <t>Menos empleo y oferta local tras perder 5.013 empresas</t>
  </si>
  <si>
    <t>En un año desaparecieron 5.013 empresas activas, y con ellas los puestos y la oferta de bienes y servicios del barrio.</t>
  </si>
  <si>
    <t>La recuperación depende de empresas muy pequeñas: la base económica local queda más expuesta.</t>
  </si>
  <si>
    <t>Alcaldía de Bogotá, ficha EBI 2492</t>
  </si>
  <si>
    <t>Foto 1: local cerrado. Foto 2: cartel de arriendo.</t>
  </si>
  <si>
    <t>fa-briefcase</t>
  </si>
  <si>
    <t>NOD-E33</t>
  </si>
  <si>
    <t>Poca diversificación: la economía depende de ventas y manufactura liviana</t>
  </si>
  <si>
    <t>Corredores comerciales de Kennedy</t>
  </si>
  <si>
    <t>Comercio al por menor, alimentos, muebles y textiles concentran la creación de empresas.</t>
  </si>
  <si>
    <t>Sin actividades de mayor valor agregado, el ingreso por trabajador crece poco.</t>
  </si>
  <si>
    <t>El Espectador; La República; Cámara de Comercio de Bogotá (2020), Perfil económico y empresarial de las localidades de Bogotá (repositoriocdim.esap.edu.co)</t>
  </si>
  <si>
    <t>Foto 1: comercio de barrio. Foto 2: taller de confección.</t>
  </si>
  <si>
    <t>fa-shuffle</t>
  </si>
  <si>
    <t>NOD-E34</t>
  </si>
  <si>
    <t>Emprendimientos que apenas arrancan se quedan en subsistencia</t>
  </si>
  <si>
    <t>Con apoyos de cerca de 6,4 millones de pesos por emprendimiento, el capital alcanza para la compra de insumos pero no para escalar.</t>
  </si>
  <si>
    <t>La innovación productiva no encuentra financiamiento a su escala.</t>
  </si>
  <si>
    <t>Bogotá.gov.co (250 emprendimientos)</t>
  </si>
  <si>
    <t>Foto 1: puesto del emprendedor. Foto 2: entrega de insumos.</t>
  </si>
  <si>
    <t>NOD-E35</t>
  </si>
  <si>
    <t>Persiste la ocupación del espacio público: solo 6 de 20 vendedores aceptaron reubicarse</t>
  </si>
  <si>
    <t>Plaza Distrital de Kennedy</t>
  </si>
  <si>
    <t>Los puntos comerciales ofrecidos no igualan los ingresos de la calle, y la mayoría de vendedores decide quedarse.</t>
  </si>
  <si>
    <t>La política de espacio público choca con la necesidad de ingreso.</t>
  </si>
  <si>
    <t>Bogotá.gov.co, recuperación de espacio público</t>
  </si>
  <si>
    <t>Foto 1: vendedores en el andén. Foto 2: módulos de reubicación.</t>
  </si>
  <si>
    <t>fa-user-xmark</t>
  </si>
  <si>
    <t>NOD-E36</t>
  </si>
  <si>
    <t>Los comerciantes de la plaza pierden ventas frente a los vendedores de la calle</t>
  </si>
  <si>
    <t>Un comerciante de la plaza atribuyó una caída de ventas a la alta demanda de los vendedores informales de las vías aledañas.</t>
  </si>
  <si>
    <t>El comercio formal compite con el informal en el mismo corredor.</t>
  </si>
  <si>
    <t>Las2orillas / Bogotá.gov.co</t>
  </si>
  <si>
    <t>Foto 1: plaza con pocos clientes. Foto 2: calle con ventas.</t>
  </si>
  <si>
    <t>NOD-E37</t>
  </si>
  <si>
    <t>La oferta de barrio no compensa la dependencia de la central</t>
  </si>
  <si>
    <t>Con 78 locales y 6% del volumen de Corabastos, la plaza no alcanza a ser una alternativa de abastecimiento.</t>
  </si>
  <si>
    <t>Un bloqueo de la central no se amortigua con la red local.</t>
  </si>
  <si>
    <t>IPES / Alcaldía</t>
  </si>
  <si>
    <t>Foto 1: plaza renovada. Foto 2: ventas de la plaza.</t>
  </si>
  <si>
    <t>fa-scale-unbalanced</t>
  </si>
  <si>
    <t>NOD-E38</t>
  </si>
  <si>
    <t>Hogares sin colchón: 6,8% de los hogares con jefa mujer en pobreza extrema</t>
  </si>
  <si>
    <t>La pobreza extrema es mayor en los hogares de jefatura femenina (6,8%) que en el total (4,7%).</t>
  </si>
  <si>
    <t>Un golpe de ingresos se traduce en hambre y deuda.</t>
  </si>
  <si>
    <t>Secretaría de la Mujer 2020</t>
  </si>
  <si>
    <t>Foto 1: hogar. Foto 2: ayuda alimentaria.</t>
  </si>
  <si>
    <t>NOD-E39</t>
  </si>
  <si>
    <t>La mitad de las mujeres queda fuera del mercado laboral</t>
  </si>
  <si>
    <t>La participación femenina es 50,2% frente a 71,8% masculina; 2 de cada 3 personas inactivas son mujeres.</t>
  </si>
  <si>
    <t>El territorio pierde ingresos y talento y los hogares dependen de un solo salario.</t>
  </si>
  <si>
    <t>Foto 1: mujer en labores del hogar. Foto 2: mujer emprendedora.</t>
  </si>
  <si>
    <t>fa-person-dress</t>
  </si>
  <si>
    <t>NOD-E40</t>
  </si>
  <si>
    <t>Las mujeres tienen menos tiempo para estudiar o emplearse</t>
  </si>
  <si>
    <t>Manzana del Cuidado Kennedy–Timiza</t>
  </si>
  <si>
    <t>Con un tercio de la población en labores de cuidado, el tiempo propio es escaso; la Manzana atendió a 11.998 personas.</t>
  </si>
  <si>
    <t>Los servicios de respiro son un avance pero llegan a una parte de quienes los necesitan.</t>
  </si>
  <si>
    <t>Bogotá.gov.co, 2026</t>
  </si>
  <si>
    <t>Foto 1: sede de la Manzana. Foto 2: lavandería comunitaria.</t>
  </si>
  <si>
    <t>fa-hourglass-half</t>
  </si>
  <si>
    <t>NOD-E41</t>
  </si>
  <si>
    <t>Más demanda de empleo y servicios en un territorio con recursos limitados</t>
  </si>
  <si>
    <t>La población desplazada llega a barrios donde la economía formal no alcanza para ofrecerle empleo.</t>
  </si>
  <si>
    <t>Presión sobre economía popular, vivienda y servicios.</t>
  </si>
  <si>
    <t>SDP</t>
  </si>
  <si>
    <t>Foto 1: barrio de recepción. Foto 2: taller de oficios.</t>
  </si>
  <si>
    <t>fa-users</t>
  </si>
  <si>
    <t>NOD-E42</t>
  </si>
  <si>
    <t>Mayor presión por habitante sobre vías, agua y espacio público</t>
  </si>
  <si>
    <t>Con unos 26.800 hab/km² cada metro de vía, de red y de parque atiende a más personas.</t>
  </si>
  <si>
    <t>Las fallas se sienten de inmediato en toda la localidad.</t>
  </si>
  <si>
    <t>Alcaldía Mayor de Bogotá, Ficha de valor Kennedy 2022 (DANE 2018–2035)</t>
  </si>
  <si>
    <t>Foto 1: calle congestionada. Foto 2: parque lleno.</t>
  </si>
  <si>
    <t>fa-weight-hanging</t>
  </si>
  <si>
    <t>NOD-E43</t>
  </si>
  <si>
    <t>Los egresados oficiales entran con menos preparación en inglés y matemáticas</t>
  </si>
  <si>
    <t>El puntaje de inglés es 53,4 frente a 60,3 en privados; en matemáticas, 53,3 frente a 58,0.</t>
  </si>
  <si>
    <t>La brecha se convierte en menos acceso a becas, universidades y empleos calificados.</t>
  </si>
  <si>
    <t>Secretaría de Educación, Kennedy 2022</t>
  </si>
  <si>
    <t>Foto 1: aula de inglés. Foto 2: examen.</t>
  </si>
  <si>
    <t>fa-language</t>
  </si>
  <si>
    <t>NOD-E44</t>
  </si>
  <si>
    <t>No hay un colegio distrital referente de excelencia (A+) que lidere la innovación educativa</t>
  </si>
  <si>
    <t>El 78,0% de los colegios distritales está en categoría B y ninguno en A+.</t>
  </si>
  <si>
    <t>Faltan modelos para replicar prácticas de calidad.</t>
  </si>
  <si>
    <t>Foto 1: colegio. Foto 2: laboratorio.</t>
  </si>
  <si>
    <t>fa-award</t>
  </si>
  <si>
    <t>NOD-E45</t>
  </si>
  <si>
    <t>Se pierden 5.664 matrículas oficiales en un año</t>
  </si>
  <si>
    <t>La matrícula pasó de 113.907 a 108.243 estudiantes entre 2021 y 2022.</t>
  </si>
  <si>
    <t>Menos jóvenes dentro del sistema significa menos oportunidades de formación futura.</t>
  </si>
  <si>
    <t>Foto 1: salón. Foto 2: gráfica.</t>
  </si>
  <si>
    <t>fa-user-minus</t>
  </si>
  <si>
    <t>NOD-E46</t>
  </si>
  <si>
    <t>La formación se interrumpe por necesidad de ingreso</t>
  </si>
  <si>
    <t>Una de cada 4 mujeres no estudia porque necesita trabajar.</t>
  </si>
  <si>
    <t>La trayectoria educativa se corta antes de generar ingresos más altos.</t>
  </si>
  <si>
    <t>Foto 1: mujer trabajando. Foto 2: aula nocturna.</t>
  </si>
  <si>
    <t>fa-book</t>
  </si>
  <si>
    <t>NOD-E47</t>
  </si>
  <si>
    <t>La brecha de habilidades digitales limita el uso del internet disponible</t>
  </si>
  <si>
    <t>Hogares con jefatura femenina</t>
  </si>
  <si>
    <t>El 40,8% de las jefas que no usan internet dice que no lo conoce o no sabe usarlo.</t>
  </si>
  <si>
    <t>Más conexión no basta si no se enseña a usarla.</t>
  </si>
  <si>
    <t>Foto 1: capacitación digital. Foto 2: hogar.</t>
  </si>
  <si>
    <t>fa-computer</t>
  </si>
  <si>
    <t>NOD-E48</t>
  </si>
  <si>
    <t>Los cupos de educación superior pública son pocos frente a la demanda</t>
  </si>
  <si>
    <t>Universidad Pública de Kennedy</t>
  </si>
  <si>
    <t>Unos 500 jóvenes en una localidad con más de 108.000 estudiantes oficiales.</t>
  </si>
  <si>
    <t>La formación para la innovación depende de salir de la localidad o de pagar.</t>
  </si>
  <si>
    <t>Bogotá.gov.co / Infobae</t>
  </si>
  <si>
    <t>Foto 1: edificio modular. Foto 2: estudiantes.</t>
  </si>
  <si>
    <t>fa-chair</t>
  </si>
  <si>
    <t>NOD-E49</t>
  </si>
  <si>
    <t>Conflicto de tráfico en el acceso norte de Corabastos hasta 2027</t>
  </si>
  <si>
    <t>Av. Agoberto Mejía con Diagonal 2</t>
  </si>
  <si>
    <t>Mientras el puente no se termine (segundo semestre de 2027), el cruce seguirá operando sobre 20.000 vehículos diarios.</t>
  </si>
  <si>
    <t>Cada día de espera es tiempo perdido para carga y buses.</t>
  </si>
  <si>
    <t>IDU, 2026</t>
  </si>
  <si>
    <t>Foto 1: cruce. Foto 2: obra.</t>
  </si>
  <si>
    <t>NOD-E50</t>
  </si>
  <si>
    <t>Los camiones siguen saliendo por la Av. de las Américas</t>
  </si>
  <si>
    <t>Salida de Corabastos por la Av. de las Américas</t>
  </si>
  <si>
    <t>Sin ejecutar el rediseño de accesos, la salida principal de la central sigue por la avenida.</t>
  </si>
  <si>
    <t>La carga pesada comparte vía con el tráfico urbano.</t>
  </si>
  <si>
    <t>IDU 2025</t>
  </si>
  <si>
    <t>Foto 1: salida de la central. Foto 2: fila de camiones.</t>
  </si>
  <si>
    <t>NOD-E51</t>
  </si>
  <si>
    <t>Filas de ingreso al portal de más de 30 minutos</t>
  </si>
  <si>
    <t>Vecinos describieron esperas de más de 30 minutos para entrar al portal.</t>
  </si>
  <si>
    <t>Es tiempo de viaje perdido todos los días.</t>
  </si>
  <si>
    <t>Publimetro 2023; TransMilenio S.A., Estadísticas de oferta y demanda del SITP, diciembre 2025 (transmilenio.gov.co)</t>
  </si>
  <si>
    <t>Foto 1: fila. Foto 2: portal.</t>
  </si>
  <si>
    <t>fa-people-line</t>
  </si>
  <si>
    <t>NOD-E52</t>
  </si>
  <si>
    <t>20.074 usuarios afectados y cinco estaciones sin servicio por un solo bloqueo</t>
  </si>
  <si>
    <t>Troncal Américas</t>
  </si>
  <si>
    <t>Un bloqueo en la troncal dejó sin servicio cinco estaciones.</t>
  </si>
  <si>
    <t>Quienes dependen de la troncal no tienen alternativa inmediata.</t>
  </si>
  <si>
    <t>Publimetro, 24-ago-2026; Alcaldía de Bogotá, "Más de 30.000 personas afectadas por bloqueos a TransMilenio" (bogota.gov.co/mi-ciudad/movilidad/mas-de-30000-personas-afectadas-por-bloqueos-transmilenio)</t>
  </si>
  <si>
    <t>Foto 1: usuarios caminando. Foto 2: estación cerrada.</t>
  </si>
  <si>
    <t>fa-users-slash</t>
  </si>
  <si>
    <t>NOD-E53</t>
  </si>
  <si>
    <t>Barrios de Patio Bonito sin su estación durante las obras</t>
  </si>
  <si>
    <t>Estación Patio Bonito</t>
  </si>
  <si>
    <t>La estación cerró temporalmente por la ampliación de la Av. Ciudad de Cali.</t>
  </si>
  <si>
    <t>Los usuarios caminan más o pagan transporte informal.</t>
  </si>
  <si>
    <t>El Espectador; Alcaldía de Bogotá, cierre parcial de la estación Patio Bonito por obras de la Av. Ciudad de Cali (bogota.gov.co/en/node/177989)</t>
  </si>
  <si>
    <t>Foto 1: estación cerrada. Foto 2: usuarios caminando.</t>
  </si>
  <si>
    <t>fa-train-subway</t>
  </si>
  <si>
    <t>NOD-E54</t>
  </si>
  <si>
    <t>Los comerciantes del corredor pierden flujo de caja durante las obras</t>
  </si>
  <si>
    <t>Corredor de obras del Metro</t>
  </si>
  <si>
    <t>Cerca de 1.400 negocios afectados necesitan flujo de caja para pagar arriendo y costos.</t>
  </si>
  <si>
    <t>La obra mejora la red a largo plazo pero cuesta ingresos hoy.</t>
  </si>
  <si>
    <t>Publimetro, sept-2025</t>
  </si>
  <si>
    <t>Foto 1: comercio con obra al frente. Foto 2: cartel de apoyo.</t>
  </si>
  <si>
    <t>fa-money-bill-wave</t>
  </si>
  <si>
    <t>NOD-E55</t>
  </si>
  <si>
    <t>Los hogares pagan transporte informal e inseguro</t>
  </si>
  <si>
    <t>Patio Bonito y El Tintal</t>
  </si>
  <si>
    <t>El bicitaxi llena el vacío del transporte formal; se ha visto un vehículo con unas nueve personas de pie.</t>
  </si>
  <si>
    <t>El servicio existe pero sin seguridad.</t>
  </si>
  <si>
    <t>Blu Radio; Secretaría Distrital de Movilidad, caracterización y censo del bicitaxismo (bogota.gov.co/mi-ciudad/movilidad/bicitaxismo-en-bogota)</t>
  </si>
  <si>
    <t>Foto 1: bicitaxi cargado. Foto 2: parqueadero.</t>
  </si>
  <si>
    <t>NOD-E56</t>
  </si>
  <si>
    <t>31 buses atacados y bloqueos al sistema</t>
  </si>
  <si>
    <t>Av. Ciudad de Cali con Américas</t>
  </si>
  <si>
    <t>En agosto de 2022 el conflicto por los operativos dañó 31 buses del SITP.</t>
  </si>
  <si>
    <t>El costo lo asumen todos los usuarios.</t>
  </si>
  <si>
    <t>El Espectador, ago-2022; Secretaría Distrital de Movilidad, Resolución 3256 de 2018 del Ministerio de Transporte sobre bicitaxis (contexto normativo)</t>
  </si>
  <si>
    <t>Foto 1: buses vandalizados. Foto 2: bloqueo.</t>
  </si>
  <si>
    <t>NOD-E57</t>
  </si>
  <si>
    <t>Ciclistas muertos por choques con vehículos pesados</t>
  </si>
  <si>
    <t>Av. Boyacá</t>
  </si>
  <si>
    <t>Se reportaron muertes de ciclistas con tractocamión, volqueta y camión en 2023, 2024 y 2025.</t>
  </si>
  <si>
    <t>La movilidad activa no es segura.</t>
  </si>
  <si>
    <t>El Espectador; Diario del Sur; Secretaría Distrital de Movilidad, Observatorio de Movilidad, Análisis de la siniestralidad vial en Bogotá (observatorio.movilidadbogota.gov.co/actualidad/siniestralidad-vial-en-bogota) y Anuario de Siniestralidad Vial 2024 (movilidadbogota.gov.co)</t>
  </si>
  <si>
    <t>Foto 1: cruce. Foto 2: ciclorruta.</t>
  </si>
  <si>
    <t>NOD-E58</t>
  </si>
  <si>
    <t>Un motociclista murió por el mal estado de la vía</t>
  </si>
  <si>
    <t>Av. Primero de Mayo</t>
  </si>
  <si>
    <t>Un carril en mal estado fue factor de un accidente fatal.</t>
  </si>
  <si>
    <t>El mantenimiento vial es una condición de seguridad.</t>
  </si>
  <si>
    <t>El Espectador; Secretaría Distrital de Movilidad, Observatorio de Movilidad, Análisis de la siniestralidad vial en Bogotá (observatorio.movilidadbogota.gov.co/actualidad/siniestralidad-vial-en-bogota) y Anuario de Siniestralidad Vial 2024 (movilidadbogota.gov.co)</t>
  </si>
  <si>
    <t>Foto 1: carril. Foto 2: obra sin terminar.</t>
  </si>
  <si>
    <t>fa-heart-crack</t>
  </si>
  <si>
    <t>NOD-E59</t>
  </si>
  <si>
    <t>Los precios de los alimentos suben más de 40% en pocos días</t>
  </si>
  <si>
    <t>La arveja subió 40,6%, el tomate 39% y la cebolla junca 49% durante el paro.</t>
  </si>
  <si>
    <t>El hogar paga el costo de la interrupción de la cadena.</t>
  </si>
  <si>
    <t>Pulzo; Portafolio; Bogotá.gov.co</t>
  </si>
  <si>
    <t>Foto 1: tablero de precios. Foto 2: puesto en la plaza.</t>
  </si>
  <si>
    <t>fa-arrow-trend-up</t>
  </si>
  <si>
    <t>NOD-E60</t>
  </si>
  <si>
    <t>Pérdidas diarias superiores a $30.000 millones en hotelería y gastronomía de Bogotá</t>
  </si>
  <si>
    <t>Bogotá (efecto del paro)</t>
  </si>
  <si>
    <t>La Alcaldía reportó pérdidas diarias mayores a $30.000 millones por el paro.</t>
  </si>
  <si>
    <t>La interrupción de un flujo afecta a sectores que no lo producen.</t>
  </si>
  <si>
    <t>Bogotá.gov.co, 2024</t>
  </si>
  <si>
    <t>Foto 1: restaurante vacío. Foto 2: camiones detenidos.</t>
  </si>
  <si>
    <t>fa-sack-dollar</t>
  </si>
  <si>
    <t>NOD-E61</t>
  </si>
  <si>
    <t>Pacientes permanecen más de un día en urgencias</t>
  </si>
  <si>
    <t>La Personería encontró que las personas permanecían en urgencias más de un día con ocupación de 321%.</t>
  </si>
  <si>
    <t>El servicio de salud no es oportuno.</t>
  </si>
  <si>
    <t>Noticias RCN; Personería</t>
  </si>
  <si>
    <t>Foto 1: camillas en pasillo. Foto 2: sala de espera.</t>
  </si>
  <si>
    <t>fa-bed-pulse</t>
  </si>
  <si>
    <t>NOD-E62</t>
  </si>
  <si>
    <t>Ambulancias retenidas esperando camillas</t>
  </si>
  <si>
    <t>En 2017 se encontraron diez ambulancias retenidas a la espera de camillas.</t>
  </si>
  <si>
    <t>La red de atención de emergencias se bloquea en su nodo principal.</t>
  </si>
  <si>
    <t>Personería de Bogotá, 2017</t>
  </si>
  <si>
    <t>Foto 1: ambulancias. Foto 2: entrada de urgencias.</t>
  </si>
  <si>
    <t>fa-truck-medical</t>
  </si>
  <si>
    <t>NOD-E63</t>
  </si>
  <si>
    <t>Espacio público ocupado por residuos: 22.000 m² recuperados en 18 puntos críticos</t>
  </si>
  <si>
    <t>Puntos críticos de Kennedy</t>
  </si>
  <si>
    <t>Los puntos críticos de basura ocupan espacio público que se recupera con operativos.</t>
  </si>
  <si>
    <t>La recuperación es temporal si el arrojo continúa.</t>
  </si>
  <si>
    <t>Foto 1: foco antes. Foto 2: foco después.</t>
  </si>
  <si>
    <t>fa-broom</t>
  </si>
  <si>
    <t>NOD-E64</t>
  </si>
  <si>
    <t>Doce mil metros cuadrados usados como botadero</t>
  </si>
  <si>
    <t>Barrio Jazmín Occidental</t>
  </si>
  <si>
    <t>Entre 45 y 55 toneladas se acumulaban en un lote de 12.000 m².</t>
  </si>
  <si>
    <t>Un lote que pudo ser parque o vivienda fue un depósito de residuos.</t>
  </si>
  <si>
    <t>Minuto60; El Espectador; UAESP, 51 toneladas de residuos se recogieron durante operativo de limpieza en Kennedy (uaesp.gov.co/noticias/51-toneladas-residuos-se-recogieron-durante-operativo-limpieza-kennedy)</t>
  </si>
  <si>
    <t>Foto 1: lote. Foto 2: retiro de residuos.</t>
  </si>
  <si>
    <t>NOD-E65</t>
  </si>
  <si>
    <t>El material de reciclaje de las orillas termina en el cauce del Fucha</t>
  </si>
  <si>
    <t>Ronda del Fucha, Andalucía</t>
  </si>
  <si>
    <t>Parte del material acopiado en la ronda cayó al río y aumentó su contaminación.</t>
  </si>
  <si>
    <t>Recuperar residuos mal acopiados contamina.</t>
  </si>
  <si>
    <t>El Espectador, 2025; Alcaldía Local de Kennedy, recupera 1.500 m² y retira 38 toneladas en el barrio Andalucía (gobiernobogota.gov.co/noticias/kennedy-recupera-1500-m2-espacio-publico)</t>
  </si>
  <si>
    <t>Foto 1: acopio en la ronda. Foto 2: río con residuos.</t>
  </si>
  <si>
    <t>NOD-E66</t>
  </si>
  <si>
    <t>Malos olores y enfermedades respiratorias en El Ruby, El Porvenir y Prados de Kennedy</t>
  </si>
  <si>
    <t>Class Roma</t>
  </si>
  <si>
    <t>Los vecinos reportaron olores y afecciones respiratorias por una fábrica de sebo y huesos.</t>
  </si>
  <si>
    <t>La contaminación industrial se vive en el hogar.</t>
  </si>
  <si>
    <t>Bogotá.gov.co, nov-2025</t>
  </si>
  <si>
    <t>Foto 1: fábrica sellada. Foto 2: vecinos.</t>
  </si>
  <si>
    <t>fa-head-side-cough</t>
  </si>
  <si>
    <t>NOD-E67</t>
  </si>
  <si>
    <t>Contaminación del río Tunjuelo con caso remitido a la Fiscalía</t>
  </si>
  <si>
    <t>Río Tunjuelo</t>
  </si>
  <si>
    <t>La información sobre 20 establecimientos con vertimiento directo se remitió a la Fiscalía por presunta contaminación.</t>
  </si>
  <si>
    <t>El daño al río es judicial además de ambiental.</t>
  </si>
  <si>
    <t>Secretaría de Ambiente</t>
  </si>
  <si>
    <t>Foto 1: vertimiento. Foto 2: toma de muestra.</t>
  </si>
  <si>
    <t>fa-gavel</t>
  </si>
  <si>
    <t>NOD-E68</t>
  </si>
  <si>
    <t>Mayor exposición a partículas finas: +9% de mortalidad cardiopulmonar a largo plazo (estimación)</t>
  </si>
  <si>
    <t>El estudio estimó +1,2% de mortalidad cardiopulmonar a corto plazo y +9% a largo plazo por la exposición en Kennedy.</t>
  </si>
  <si>
    <t>El costo de los flujos de carga lo paga la salud de la población.</t>
  </si>
  <si>
    <t>Universidad de Antioquia, 2015</t>
  </si>
  <si>
    <t>Foto 1: estación. Foto 2: gráfico del estudio.</t>
  </si>
  <si>
    <t>NOD-E69</t>
  </si>
  <si>
    <t>Zonas de 70 a 80 dB y 750 quejas por ruido</t>
  </si>
  <si>
    <t>Av. Primero de Mayo y Kennedy Central</t>
  </si>
  <si>
    <t>Siete sectores críticos de ruido y 750 quejas en 2025–2026.</t>
  </si>
  <si>
    <t>El descanso y la salud se afectan.</t>
  </si>
  <si>
    <t>Veeduría Distrital, 2026</t>
  </si>
  <si>
    <t>Foto 1: avenida. Foto 2: queja.</t>
  </si>
  <si>
    <t>fa-bullhorn</t>
  </si>
  <si>
    <t>NOD-E70</t>
  </si>
  <si>
    <t>Hogares sin agua por el daño de una tubería</t>
  </si>
  <si>
    <t>Residentes de Tierrabuena, Calandaima y otros barrios reportaron falta de agua.</t>
  </si>
  <si>
    <t>Un daño local afecta a muchos hogares.</t>
  </si>
  <si>
    <t>El Espectador; Alcaldía de Bogotá y EAAB, daños imprevistos de tubería en Kennedy: Av. Américas con Carrera 78 (diciembre de 2025) y barrio Tintal (abril de 2023) (bogota.gov.co/mi-ciudad/habitat/acueducto-de-bogota-atiende-dano-imprevisto-en-localidad-de-kennedy; bogota.gov.co/mi-ciudad/habitat/acueducto-de-bogota-atiende-contingencia-en-tuberia-en-kennedy)</t>
  </si>
  <si>
    <t>Foto 1: tubería. Foto 2: carrotanque.</t>
  </si>
  <si>
    <t>fa-droplet-slash</t>
  </si>
  <si>
    <t>NOD-E71</t>
  </si>
  <si>
    <t>Los encharcamientos de El Tintal obligaron a una obra de $50.000 millones</t>
  </si>
  <si>
    <t>El Tintal</t>
  </si>
  <si>
    <t>Se construyó un canal de 2,27 km para evacuar la lluvia.</t>
  </si>
  <si>
    <t>La inversión pública se destina a remediar en vez de prevenir.</t>
  </si>
  <si>
    <t>EAAB / Metro de Bogotá</t>
  </si>
  <si>
    <t>Foto 1: canal. Foto 2: calle inundada.</t>
  </si>
  <si>
    <t>NOD-E72</t>
  </si>
  <si>
    <t>Los canales con sedimento evacuan menos agua lluvia</t>
  </si>
  <si>
    <t>Canales de Kennedy</t>
  </si>
  <si>
    <t>El sedimento y los residuos reducen la capacidad de los canales.</t>
  </si>
  <si>
    <t>La lluvia se acumula en calles y viviendas.</t>
  </si>
  <si>
    <t>Bogotá.gov.co</t>
  </si>
  <si>
    <t>Foto 1: canal. Foto 2: limpieza.</t>
  </si>
  <si>
    <t>NOD-E73</t>
  </si>
  <si>
    <t>Lixiviados con riesgo para la salud de los vecinos</t>
  </si>
  <si>
    <t>Parque Metropolitano Gibraltar</t>
  </si>
  <si>
    <t>Los líquidos acumulados en el talud representan un riesgo para la salud humana y el ambiente, según la Contraloría de Bogotá.</t>
  </si>
  <si>
    <t>El costo de los residuos de la ciudad quedó en un barrio.</t>
  </si>
  <si>
    <t>Contraloría de Bogotá, oficio 31000-14205 del 24-jun-2005</t>
  </si>
  <si>
    <t>Foto 1: parque. Foto 2: monitoreo.</t>
  </si>
  <si>
    <t>fa-radiation</t>
  </si>
  <si>
    <t>NOD-E74</t>
  </si>
  <si>
    <t>El servicio de salud se interrumpe cuando llueve fuerte</t>
  </si>
  <si>
    <t>Efecto · Redes · Metabolismo</t>
  </si>
  <si>
    <t>Documentado (fecha por verificar)</t>
  </si>
  <si>
    <t>El aguacero inundó el hospital.</t>
  </si>
  <si>
    <t>La amenaza de inundación alcanza servicios críticos.</t>
  </si>
  <si>
    <t>La FM; Secretaría Distrital de Salud, Observatorio de Salud, ASIS Localidad Kennedy 2024 (saludata.saludcapital.gov.co/osb/wp-content/uploads/2026/01/8.-ASIS_Kennedy_2024.pdf)</t>
  </si>
  <si>
    <t>Foto 1: urgencias con agua. Foto 2: drenaje.</t>
  </si>
  <si>
    <t>fa-kit-medical</t>
  </si>
  <si>
    <t>NOD-E75</t>
  </si>
  <si>
    <t>Riesgo sanitario por alimentos sin condiciones higiénicas</t>
  </si>
  <si>
    <t>Barrio Llano Grande</t>
  </si>
  <si>
    <t>La fábrica sellada no tenía documentación y los productos se hallaron en condiciones antihigiénicas.</t>
  </si>
  <si>
    <t>La informalidad alimentaria compromete la salud pública.</t>
  </si>
  <si>
    <t>Publimetro, 20-nov-2025; Alcaldía Local de Kennedy, Sellada fábrica de morcilla insalubre en Kennedy (gobiernobogota.gov.co/noticias/sellada-fabrica-morcilla-insalubre-Kennedy-IVC)</t>
  </si>
  <si>
    <t>Foto 1: producto. Foto 2: sellos.</t>
  </si>
  <si>
    <t>fa-virus</t>
  </si>
  <si>
    <t>Origen (ID nodo)</t>
  </si>
  <si>
    <t>Destino (ID nodo)</t>
  </si>
  <si>
    <t>Detalle del tipo</t>
  </si>
  <si>
    <t>Justificacion causal (rationale)</t>
  </si>
  <si>
    <t>Tension</t>
  </si>
  <si>
    <t>Peso</t>
  </si>
  <si>
    <t>EDG-01</t>
  </si>
  <si>
    <t>Como casi todo el abastecimiento pasa por un punto, cualquier bloqueo o paro lo reduce y sube los precios.</t>
  </si>
  <si>
    <t>Severa</t>
  </si>
  <si>
    <t>EDG-02</t>
  </si>
  <si>
    <t>Miles de toneladas diarias se mueven en vehículos que entran por las vías de borde de la central.</t>
  </si>
  <si>
    <t>Alta</t>
  </si>
  <si>
    <t>EDG-03</t>
  </si>
  <si>
    <t>Un flujo tan grande genera excedentes y pérdidas que no llegan a los hogares que los necesitan.</t>
  </si>
  <si>
    <t>EDG-04</t>
  </si>
  <si>
    <t>El empleo informal no incluye cotización a salud ni pensión.</t>
  </si>
  <si>
    <t>EDG-05</t>
  </si>
  <si>
    <t>Muchos ingresos informales dependen de la actividad diaria alrededor de la central.</t>
  </si>
  <si>
    <t>EDG-06</t>
  </si>
  <si>
    <t>Sin empleo formal la población tiene menos acceso a formación y a ofertas de trabajo calificado.</t>
  </si>
  <si>
    <t>Media</t>
  </si>
  <si>
    <t>EDG-07</t>
  </si>
  <si>
    <t>Con 147 bodegas el volumen por bodega es bajo y baja el pago a los recicladores.</t>
  </si>
  <si>
    <t>EDG-08</t>
  </si>
  <si>
    <t>La informalidad impide registrar el material y venderlo como cadena formal.</t>
  </si>
  <si>
    <t>EDG-09</t>
  </si>
  <si>
    <t>Sin escala formal los recicladores no cuentan con una sede propia de acopio.</t>
  </si>
  <si>
    <t>EDG-10</t>
  </si>
  <si>
    <t>Las familias pagan datos móviles para tareas escolares porque no tienen conexión fija.</t>
  </si>
  <si>
    <t>EDG-11</t>
  </si>
  <si>
    <t>La brecha de conexión limita el acceso a cursos de emprendimiento y a empleo digital.</t>
  </si>
  <si>
    <t>EDG-12</t>
  </si>
  <si>
    <t>Solo el 65% de la fracción orgánica se aprovecha; el resto queda sin tratamiento.</t>
  </si>
  <si>
    <t>EDG-13</t>
  </si>
  <si>
    <t>Sin biodigestor ni planta de compostaje, el valor del residuo no se convierte en insumo ni energía.</t>
  </si>
  <si>
    <t>EDG-14</t>
  </si>
  <si>
    <t>El compostaje artesanal atrae vectores y olores en un humedal rodeado de barrios.</t>
  </si>
  <si>
    <t>EDG-15</t>
  </si>
  <si>
    <t>Para controlar el olor se aplican químicos dentro del propio humedal.</t>
  </si>
  <si>
    <t>EDG-16</t>
  </si>
  <si>
    <t>Con el centro cerrado, los recicladores no tienen un punto formal de acopio en la localidad.</t>
  </si>
  <si>
    <t>EDG-17</t>
  </si>
  <si>
    <t>Una infraestructura sin uso se deteriora año tras año.</t>
  </si>
  <si>
    <t>EDG-18</t>
  </si>
  <si>
    <t>Se rescatan 6 a 9 t/día frente a miles que ingresan: el resto se pierde mientras hay hogares con hambre.</t>
  </si>
  <si>
    <t>EDG-19</t>
  </si>
  <si>
    <t>La congestión del corredor retrasa la salida de buses y los servicios de la Troncal Américas.</t>
  </si>
  <si>
    <t>EDG-20</t>
  </si>
  <si>
    <t>Cuando hay un siniestro, la avenida no tiene vías alternas que absorban el flujo.</t>
  </si>
  <si>
    <t>EDG-21</t>
  </si>
  <si>
    <t>La calzada deteriorada frena la carga y las rutas zonales en el último tramo.</t>
  </si>
  <si>
    <t>EDG-22</t>
  </si>
  <si>
    <t>El mal estado de la vía agrava la mezcla de carga pesada con tránsito local.</t>
  </si>
  <si>
    <t>EDG-23</t>
  </si>
  <si>
    <t>Un solo bloqueo obliga a desviar rutas zonales de varios barrios.</t>
  </si>
  <si>
    <t>EDG-24</t>
  </si>
  <si>
    <t>Las manifestaciones han llevado a cerrar el Portal Américas y varias estaciones.</t>
  </si>
  <si>
    <t>EDG-25</t>
  </si>
  <si>
    <t>Las obras del Metro también cierran el portal por tramos.</t>
  </si>
  <si>
    <t>EDG-26</t>
  </si>
  <si>
    <t>La estación Biblioteca Tintal y el portal operan con capacidad reducida durante las obras.</t>
  </si>
  <si>
    <t>EDG-27</t>
  </si>
  <si>
    <t>La carga de un mercado nacional entra por la malla vial de un barrio residencial.</t>
  </si>
  <si>
    <t>EDG-28</t>
  </si>
  <si>
    <t>El tráfico de carga se suma a la demanda del corredor y aumenta los retrasos.</t>
  </si>
  <si>
    <t>EDG-29</t>
  </si>
  <si>
    <t>La avenida corta el humedal en dos y bloquea el paso de agua y aves entre ambos sectores.</t>
  </si>
  <si>
    <t>Crítica</t>
  </si>
  <si>
    <t>EDG-30</t>
  </si>
  <si>
    <t>La urbanización y las vías redujeron el humedal a una fracción de su superficie original.</t>
  </si>
  <si>
    <t>EDG-31</t>
  </si>
  <si>
    <t>Las invasiones ocupan el suelo que debería almacenar agua.</t>
  </si>
  <si>
    <t>EDG-32</t>
  </si>
  <si>
    <t>Los residuos y las conexiones erradas entran al humedal y al drenaje.</t>
  </si>
  <si>
    <t>EDG-33</t>
  </si>
  <si>
    <t>La fragmentación por vías y la ocupación reducen el humedal de forma que puede ser irreversible.</t>
  </si>
  <si>
    <t>EDG-34</t>
  </si>
  <si>
    <t>Escombros y vertimientos llegan al drenaje desde el borde ocupado.</t>
  </si>
  <si>
    <t>EDG-35</t>
  </si>
  <si>
    <t>Las conexiones erradas descargan aguas residuales en tuberías de aguas lluvias que van a los ríos.</t>
  </si>
  <si>
    <t>EDG-36</t>
  </si>
  <si>
    <t>El Fucha en La Igualdad está entre los puntos críticos de desbordamiento de la ciudad.</t>
  </si>
  <si>
    <t>EDG-37</t>
  </si>
  <si>
    <t>Un barrio asentado sobre el antiguo cauce se inundó gravemente en 1979 y 1980.</t>
  </si>
  <si>
    <t>EDG-38</t>
  </si>
  <si>
    <t>Una localidad plana con 35% inundable sufre cuando el río se desborda.</t>
  </si>
  <si>
    <t>EDG-39</t>
  </si>
  <si>
    <t>Sin zonas verdes y con suelo sellado aumenta el calor superficial.</t>
  </si>
  <si>
    <t>EDG-40</t>
  </si>
  <si>
    <t>La carga orgánica consume el oxígeno del agua en el borde del humedal.</t>
  </si>
  <si>
    <t>EDG-41</t>
  </si>
  <si>
    <t>Los vertimientos del borde de la central siguen hacia los canales y ríos.</t>
  </si>
  <si>
    <t>EDG-42</t>
  </si>
  <si>
    <t>Cuanto más alimento se mueve, más residuo orgánico se genera en la misma central.</t>
  </si>
  <si>
    <t>EDG-43</t>
  </si>
  <si>
    <t>El volumen de la central se traduce directamente en vehículos de carga que entran y salen.</t>
  </si>
  <si>
    <t>EDG-44</t>
  </si>
  <si>
    <t>El volumen y los excedentes de la central son la base del rescate de alimentos y de las pérdidas.</t>
  </si>
  <si>
    <t>EDG-45</t>
  </si>
  <si>
    <t>La central concentra empleo informal y rebusque en su borde.</t>
  </si>
  <si>
    <t>EDG-46</t>
  </si>
  <si>
    <t>El reciclaje informal es una de las principales fuentes de ingreso de la economía popular.</t>
  </si>
  <si>
    <t>EDG-47</t>
  </si>
  <si>
    <t>La informalidad y la brecha digital se refuerzan: sin conexión hay menos empleo calificado.</t>
  </si>
  <si>
    <t>EDG-48</t>
  </si>
  <si>
    <t>El cierre del centro de reciclaje mantiene la actividad dispersa en bodegas informales.</t>
  </si>
  <si>
    <t>EDG-49</t>
  </si>
  <si>
    <t>La falta de tecnologías de compostaje afecta tanto a la central como al humedal vecino.</t>
  </si>
  <si>
    <t>EDG-50</t>
  </si>
  <si>
    <t>La fracción orgánica sin aprovechar alimenta la carga orgánica de los canales vecinos.</t>
  </si>
  <si>
    <t>EDG-51</t>
  </si>
  <si>
    <t>El flujo de carga acelera el deterioro de la Calle 38 Sur.</t>
  </si>
  <si>
    <t>EDG-52</t>
  </si>
  <si>
    <t>La carga hacia la central se suma a la demanda de la Av. Ciudad de Cali.</t>
  </si>
  <si>
    <t>EDG-53</t>
  </si>
  <si>
    <t>Un corredor saturado amplifica el efecto de cualquier bloqueo en Patio Bonito.</t>
  </si>
  <si>
    <t>EDG-54</t>
  </si>
  <si>
    <t>Los cierres por bloqueos y por obras se suman en las mismas estaciones.</t>
  </si>
  <si>
    <t>EDG-55</t>
  </si>
  <si>
    <t>La avenida que se satura es la misma que parte el humedal El Burro.</t>
  </si>
  <si>
    <t>EDG-56</t>
  </si>
  <si>
    <t>Dos humedales de Kennedy están fragmentados por vías.</t>
  </si>
  <si>
    <t>EDG-57</t>
  </si>
  <si>
    <t>La ocupación y la carga orgánica degradan juntas el borde de La Vaca.</t>
  </si>
  <si>
    <t>EDG-58</t>
  </si>
  <si>
    <t>Las conexiones erradas en La Vaca se suman a las del Fucha.</t>
  </si>
  <si>
    <t>EDG-59</t>
  </si>
  <si>
    <t>El suelo inundable agrava el efecto de las conexiones erradas y los desbordes.</t>
  </si>
  <si>
    <t>EDG-60</t>
  </si>
  <si>
    <t>Un territorio inundable sin espacio público libre tiene menos dónde absorber agua.</t>
  </si>
  <si>
    <t>EDG-61</t>
  </si>
  <si>
    <t>Perder una de cada diez empresas activas reduce el empleo y la oferta local.</t>
  </si>
  <si>
    <t>EDG-62</t>
  </si>
  <si>
    <t>La concentración en comercio y manufactura liviana limita el valor agregado.</t>
  </si>
  <si>
    <t>EDG-63</t>
  </si>
  <si>
    <t>Un apoyo de cerca de 6,4 millones de pesos por emprendimiento alcanza para arrancar, no para crecer.</t>
  </si>
  <si>
    <t>EDG-64</t>
  </si>
  <si>
    <t>Sin alternativas de ingreso equivalentes, la mayoría de vendedores no acepta reubicarse.</t>
  </si>
  <si>
    <t>EDG-65</t>
  </si>
  <si>
    <t>Los vendedores de la calle compiten con los locales de la plaza.</t>
  </si>
  <si>
    <t>EDG-66</t>
  </si>
  <si>
    <t>Una plaza de 78 locales no compensa la dependencia de la central.</t>
  </si>
  <si>
    <t>EDG-67</t>
  </si>
  <si>
    <t>La pobreza extrema es mayor en hogares con jefa mujer.</t>
  </si>
  <si>
    <t>EDG-68</t>
  </si>
  <si>
    <t>Con 50,2% de participación femenina la mitad de las mujeres queda sin ingreso propio.</t>
  </si>
  <si>
    <t>EDG-69</t>
  </si>
  <si>
    <t>El cuidado consume el tiempo que se destinaría a estudio o empleo.</t>
  </si>
  <si>
    <t>EDG-70</t>
  </si>
  <si>
    <t>La llegada de población desplazada aumenta la demanda de empleo y servicios.</t>
  </si>
  <si>
    <t>EDG-71</t>
  </si>
  <si>
    <t>La alta densidad aumenta la presión sobre cada servicio.</t>
  </si>
  <si>
    <t>EDG-72</t>
  </si>
  <si>
    <t>La brecha en Saber 11 se traduce en menos acceso a educación superior y empleo calificado.</t>
  </si>
  <si>
    <t>EDG-73</t>
  </si>
  <si>
    <t>Sin colegios A+ faltan modelos de excelencia en el sector oficial.</t>
  </si>
  <si>
    <t>EDG-74</t>
  </si>
  <si>
    <t>La matrícula cae casi 5.700 estudiantes en un año.</t>
  </si>
  <si>
    <t>EDG-75</t>
  </si>
  <si>
    <t>La necesidad de ingreso interrumpe la formación.</t>
  </si>
  <si>
    <t>EDG-76</t>
  </si>
  <si>
    <t>La falta de habilidades limita el uso del internet disponible.</t>
  </si>
  <si>
    <t>EDG-77</t>
  </si>
  <si>
    <t>La oferta pública de educación superior es pequeña.</t>
  </si>
  <si>
    <t>EDG-78</t>
  </si>
  <si>
    <t>La fábrica sin documentación y con condiciones antihigiénicas es un riesgo para el consumidor.</t>
  </si>
  <si>
    <t>EDG-79</t>
  </si>
  <si>
    <t>Hasta que exista el puente, el cruce seguirá saturado.</t>
  </si>
  <si>
    <t>EDG-80</t>
  </si>
  <si>
    <t>Sin el rediseño de accesos, la salida principal de camiones sigue por la Av. de las Américas.</t>
  </si>
  <si>
    <t>EDG-81</t>
  </si>
  <si>
    <t>La concentración de usuarios en un portal genera filas de ingreso largas.</t>
  </si>
  <si>
    <t>EDG-82</t>
  </si>
  <si>
    <t>Un bloqueo afecta cinco estaciones a la vez.</t>
  </si>
  <si>
    <t>EDG-83</t>
  </si>
  <si>
    <t>La estación cerró por las obras de ampliación.</t>
  </si>
  <si>
    <t>EDG-84</t>
  </si>
  <si>
    <t>Los negocios del corredor pierden clientes y flujo de caja durante las obras.</t>
  </si>
  <si>
    <t>EDG-85</t>
  </si>
  <si>
    <t>Sin transporte formal suficiente, el transporte informal llena el vacío.</t>
  </si>
  <si>
    <t>EDG-86</t>
  </si>
  <si>
    <t>El conflicto por los operativos dañó 31 buses del SITP.</t>
  </si>
  <si>
    <t>EDG-87</t>
  </si>
  <si>
    <t>Los choques con vehículos pesados en la Av. Boyacá causaron muertes de ciclistas.</t>
  </si>
  <si>
    <t>EDG-88</t>
  </si>
  <si>
    <t>El carril en mal estado fue factor de un accidente fatal.</t>
  </si>
  <si>
    <t>EDG-89</t>
  </si>
  <si>
    <t>La caída de oferta subió los precios de verduras en pocos días.</t>
  </si>
  <si>
    <t>EDG-90</t>
  </si>
  <si>
    <t>La interrupción del abastecimiento generó pérdidas diarias superiores a $30.000 millones.</t>
  </si>
  <si>
    <t>EDG-91</t>
  </si>
  <si>
    <t>La ocupación de 321% mantiene a los pacientes más de un día en urgencias.</t>
  </si>
  <si>
    <t>EDG-92</t>
  </si>
  <si>
    <t>Sin camillas libres las ambulancias quedan retenidas.</t>
  </si>
  <si>
    <t>EDG-93</t>
  </si>
  <si>
    <t>Los focos de basura ocupan espacio público que se recupera con operativos.</t>
  </si>
  <si>
    <t>EDG-94</t>
  </si>
  <si>
    <t>El lote funcionó como botadero de 12.000 m².</t>
  </si>
  <si>
    <t>EDG-95</t>
  </si>
  <si>
    <t>El acopio informal en la ronda envió material al río.</t>
  </si>
  <si>
    <t>EDG-96</t>
  </si>
  <si>
    <t>Los vertimientos y olores generaron afecciones respiratorias en los barrios vecinos.</t>
  </si>
  <si>
    <t>EDG-97</t>
  </si>
  <si>
    <t>Los vertimientos directos contaminan el río Tunjuelo.</t>
  </si>
  <si>
    <t>EDG-98</t>
  </si>
  <si>
    <t>La exposición a partículas finas se asocia a mayor mortalidad cardiopulmonar.</t>
  </si>
  <si>
    <t>EDG-99</t>
  </si>
  <si>
    <t>El ruido de 70 a 80 dB en 7 zonas generó 750 quejas.</t>
  </si>
  <si>
    <t>EDG-100</t>
  </si>
  <si>
    <t>La tubería dañada dejó sin agua a varios barrios.</t>
  </si>
  <si>
    <t>EDG-101</t>
  </si>
  <si>
    <t>La falta de drenaje en El Tintal obligó a un canal de 2,27 km.</t>
  </si>
  <si>
    <t>EDG-102</t>
  </si>
  <si>
    <t>El sedimento reduce la capacidad de evacuación de los canales.</t>
  </si>
  <si>
    <t>EDG-103</t>
  </si>
  <si>
    <t>El relleno Gibraltar dejó un pasivo ambiental junto al barrio.</t>
  </si>
  <si>
    <t>EDG-104</t>
  </si>
  <si>
    <t>El aguacero inundó un servicio crítico.</t>
  </si>
  <si>
    <t>EDG-105</t>
  </si>
  <si>
    <t>El acopio en las orillas termina en el cauce.</t>
  </si>
  <si>
    <t>EDG-106</t>
  </si>
  <si>
    <t>Menos empresas formales empuja más gente a la informalidad.</t>
  </si>
  <si>
    <t>EDG-107</t>
  </si>
  <si>
    <t>Las empresas que sobreviven son las de menor tamaño y menor valor agregado.</t>
  </si>
  <si>
    <t>EDG-108</t>
  </si>
  <si>
    <t>El apoyo a emprendimientos se dirige a las mismas actividades de bajo valor agregado.</t>
  </si>
  <si>
    <t>EDG-109</t>
  </si>
  <si>
    <t>Muchos emprendimientos terminan vendiendo en el espacio público.</t>
  </si>
  <si>
    <t>EDG-110</t>
  </si>
  <si>
    <t>Los vendedores de la calle compiten con la plaza distrital.</t>
  </si>
  <si>
    <t>EDG-111</t>
  </si>
  <si>
    <t>La venta informal es parte del empleo informal de la localidad.</t>
  </si>
  <si>
    <t>EDG-112</t>
  </si>
  <si>
    <t>La informalidad sostiene ingresos bajos y pobreza extrema.</t>
  </si>
  <si>
    <t>EDG-113</t>
  </si>
  <si>
    <t>La pobreza se concentra en hogares con jefatura femenina con menor participación laboral.</t>
  </si>
  <si>
    <t>EDG-114</t>
  </si>
  <si>
    <t>Las cargas de cuidado reducen la participación laboral de las mujeres.</t>
  </si>
  <si>
    <t>EDG-115</t>
  </si>
  <si>
    <t>El tiempo de cuidado y la necesidad de ingreso interrumpen el estudio.</t>
  </si>
  <si>
    <t>EDG-116</t>
  </si>
  <si>
    <t>La población desplazada se concentra en barrios con pobreza extrema.</t>
  </si>
  <si>
    <t>EDG-117</t>
  </si>
  <si>
    <t>La densidad aumenta el déficit de espacio público por habitante.</t>
  </si>
  <si>
    <t>EDG-118</t>
  </si>
  <si>
    <t>La alta población presiona la demanda del hospital.</t>
  </si>
  <si>
    <t>EDG-119</t>
  </si>
  <si>
    <t>El bajo puntaje promedio se refleja en las categorías de los colegios.</t>
  </si>
  <si>
    <t>EDG-120</t>
  </si>
  <si>
    <t>La brecha en Saber 11 limita el acceso a educación superior.</t>
  </si>
  <si>
    <t>EDG-121</t>
  </si>
  <si>
    <t>Menos matrícula y menor puntaje debilitan juntos al sistema oficial.</t>
  </si>
  <si>
    <t>EDG-122</t>
  </si>
  <si>
    <t>La interrupción del estudio mantiene baja la participación laboral.</t>
  </si>
  <si>
    <t>EDG-123</t>
  </si>
  <si>
    <t>La brecha de habilidades se suma a la falta de conexión.</t>
  </si>
  <si>
    <t>EDG-124</t>
  </si>
  <si>
    <t>La poca oferta de educación superior desalienta la permanencia en el sistema.</t>
  </si>
  <si>
    <t>EDG-125</t>
  </si>
  <si>
    <t>La carga hacia la central satura el cruce.</t>
  </si>
  <si>
    <t>EDG-126</t>
  </si>
  <si>
    <t>La falta de rediseño de accesos mantiene el cruce saturado.</t>
  </si>
  <si>
    <t>EDG-127</t>
  </si>
  <si>
    <t>La central concentra el flujo cuyos accesos no se han rediseñado.</t>
  </si>
  <si>
    <t>EDG-128</t>
  </si>
  <si>
    <t>La congestión del corredor afecta la entrada y salida del portal.</t>
  </si>
  <si>
    <t>EDG-129</t>
  </si>
  <si>
    <t>Un incidente en el portal o la troncal se propaga a las estaciones.</t>
  </si>
  <si>
    <t>EDG-130</t>
  </si>
  <si>
    <t>Los bloqueos se repiten en la misma troncal.</t>
  </si>
  <si>
    <t>EDG-131</t>
  </si>
  <si>
    <t>Las obras de ampliación y las obras del Metro se suman en el mismo corredor.</t>
  </si>
  <si>
    <t>EDG-132</t>
  </si>
  <si>
    <t>Los comercios del corredor absorben las obras del Metro.</t>
  </si>
  <si>
    <t>EDG-133</t>
  </si>
  <si>
    <t>Las obras presionan a los negocios que ya perdieron empresas.</t>
  </si>
  <si>
    <t>EDG-134</t>
  </si>
  <si>
    <t>El transporte informal y los bloqueos aparecen donde el servicio formal falla.</t>
  </si>
  <si>
    <t>EDG-135</t>
  </si>
  <si>
    <t>Los operativos contra los bicitaxis detonaron el conflicto.</t>
  </si>
  <si>
    <t>EDG-136</t>
  </si>
  <si>
    <t>La carga pesada comparte vía con ciclistas.</t>
  </si>
  <si>
    <t>EDG-137</t>
  </si>
  <si>
    <t>El mal estado de la vía y la carga pesada aumentan el riesgo de accidentes.</t>
  </si>
  <si>
    <t>EDG-138</t>
  </si>
  <si>
    <t>El paro afectó a la central que concentra el abastecimiento.</t>
  </si>
  <si>
    <t>EDG-139</t>
  </si>
  <si>
    <t>El paro redujo el ingreso de vehículos de carga.</t>
  </si>
  <si>
    <t>EDG-140</t>
  </si>
  <si>
    <t>Con 35% de territorio inundable, el hospital queda expuesto.</t>
  </si>
  <si>
    <t>EDG-141</t>
  </si>
  <si>
    <t>Los focos de basura se concentran en lotes como el de Jazmín Occidental.</t>
  </si>
  <si>
    <t>EDG-142</t>
  </si>
  <si>
    <t>El reciclaje informal alimenta los botaderos.</t>
  </si>
  <si>
    <t>EDG-143</t>
  </si>
  <si>
    <t>Las bodegas retiradas estaban cerca de las obras del Metro.</t>
  </si>
  <si>
    <t>EDG-144</t>
  </si>
  <si>
    <t>El acopio en la ronda es la forma de reciclaje que contamina el Fucha.</t>
  </si>
  <si>
    <t>EDG-145</t>
  </si>
  <si>
    <t>La basura de la ronda se suma a las conexiones erradas.</t>
  </si>
  <si>
    <t>EDG-146</t>
  </si>
  <si>
    <t>Los vertimientos industriales se suman a los residenciales.</t>
  </si>
  <si>
    <t>EDG-147</t>
  </si>
  <si>
    <t>El tráfico de carga es una fuente de partículas.</t>
  </si>
  <si>
    <t>EDG-148</t>
  </si>
  <si>
    <t>La industria menor contribuye a la contaminación del aire y del agua.</t>
  </si>
  <si>
    <t>EDG-149</t>
  </si>
  <si>
    <t>El tráfico de las avenidas aporta al ruido.</t>
  </si>
  <si>
    <t>EDG-150</t>
  </si>
  <si>
    <t>La alta densidad aumenta el impacto de cada falla de la red.</t>
  </si>
  <si>
    <t>EDG-151</t>
  </si>
  <si>
    <t>Un territorio inundable obliga a grandes obras de drenaje.</t>
  </si>
  <si>
    <t>EDG-152</t>
  </si>
  <si>
    <t>Los canales con sedimento aumentan la necesidad de obras mayores.</t>
  </si>
  <si>
    <t>EDG-153</t>
  </si>
  <si>
    <t>Las conexiones erradas llevan sedimento y residuos a los canales.</t>
  </si>
  <si>
    <t>EDG-154</t>
  </si>
  <si>
    <t>Los residuos del pasado y del presente se concentran en el occidente de la localidad.</t>
  </si>
  <si>
    <t>EDG-155</t>
  </si>
  <si>
    <t>El pasivo del relleno se suma a los focos actuales de basura.</t>
  </si>
  <si>
    <t>EDG-156</t>
  </si>
  <si>
    <t>La informalidad alimentaria se concentra alrededor de la central.</t>
  </si>
  <si>
    <t>EDG-157</t>
  </si>
  <si>
    <t>El acopio informal en las orillas es parte de la dispersión de bodegas.</t>
  </si>
  <si>
    <t>EDG-158</t>
  </si>
  <si>
    <t>Ambos síntomas ocurren a 580 m uno del otro: afectan a los mismos vecinos y calles. (Derivada de las coordenadas.)</t>
  </si>
  <si>
    <t>EDG-159</t>
  </si>
  <si>
    <t>Ambos síntomas ocurren a 440 m uno del otro: afectan a los mismos vecinos y calles. (Derivada de las coordenadas.)</t>
  </si>
  <si>
    <t>EDG-160</t>
  </si>
  <si>
    <t>Ambos síntomas ocurren a 430 m uno del otro: afectan a los mismos vecinos y calles. (Derivada de las coordenadas.)</t>
  </si>
  <si>
    <t>EDG-161</t>
  </si>
  <si>
    <t>Ambos síntomas ocurren a 140 m uno del otro: afectan a los mismos vecinos y calles. (Derivada de las coordenadas.)</t>
  </si>
  <si>
    <t>EDG-162</t>
  </si>
  <si>
    <t>Una misma entidad tiene competencia sobre ambos síntomas: SDDE. (Derivada de la columna Actores.)</t>
  </si>
  <si>
    <t>EDG-163</t>
  </si>
  <si>
    <t>EDG-164</t>
  </si>
  <si>
    <t>EDG-165</t>
  </si>
  <si>
    <t>Ambos síntomas ocurren a 280 m uno del otro: afectan a los mismos vecinos y calles. (Derivada de las coordenadas.)</t>
  </si>
  <si>
    <t>EDG-166</t>
  </si>
  <si>
    <t>EDG-167</t>
  </si>
  <si>
    <t>EDG-168</t>
  </si>
  <si>
    <t>EDG-169</t>
  </si>
  <si>
    <t>EDG-170</t>
  </si>
  <si>
    <t>Ambos síntomas ocurren a 510 m uno del otro: afectan a los mismos vecinos y calles. (Derivada de las coordenadas.)</t>
  </si>
  <si>
    <t>EDG-171</t>
  </si>
  <si>
    <t>Ambos síntomas ocurren a 230 m uno del otro: afectan a los mismos vecinos y calles. (Derivada de las coordenadas.)</t>
  </si>
  <si>
    <t>EDG-172</t>
  </si>
  <si>
    <t>EDG-173</t>
  </si>
  <si>
    <t>EDG-174</t>
  </si>
  <si>
    <t>EDG-175</t>
  </si>
  <si>
    <t>Una misma entidad tiene competencia sobre ambos síntomas: UAESP. (Derivada de la columna Actores.)</t>
  </si>
  <si>
    <t>EDG-176</t>
  </si>
  <si>
    <t>Ambos síntomas ocurren a 520 m uno del otro: afectan a los mismos vecinos y calles. (Derivada de las coordenadas.)</t>
  </si>
  <si>
    <t>EDG-177</t>
  </si>
  <si>
    <t>Ambos síntomas ocurren a 540 m uno del otro: afectan a los mismos vecinos y calles. (Derivada de las coordenadas.)</t>
  </si>
  <si>
    <t>EDG-178</t>
  </si>
  <si>
    <t>EDG-179</t>
  </si>
  <si>
    <t>Ambos síntomas ocurren a 370 m uno del otro: afectan a los mismos vecinos y calles. (Derivada de las coordenadas.)</t>
  </si>
  <si>
    <t>EDG-180</t>
  </si>
  <si>
    <t>Ambos síntomas ocurren a 60 m uno del otro: afectan a los mismos vecinos y calles. (Derivada de las coordenadas.)</t>
  </si>
  <si>
    <t>EDG-181</t>
  </si>
  <si>
    <t>EDG-182</t>
  </si>
  <si>
    <t>Ambos síntomas ocurren a 420 m uno del otro: afectan a los mismos vecinos y calles. (Derivada de las coordenadas.)</t>
  </si>
  <si>
    <t>EDG-183</t>
  </si>
  <si>
    <t>Ambos síntomas ocurren a 120 m uno del otro: afectan a los mismos vecinos y calles. (Derivada de las coordenadas.)</t>
  </si>
  <si>
    <t>EDG-184</t>
  </si>
  <si>
    <t>Ambos síntomas ocurren a 380 m uno del otro: afectan a los mismos vecinos y calles. (Derivada de las coordenadas.)</t>
  </si>
  <si>
    <t>EDG-185</t>
  </si>
  <si>
    <t>EDG-186</t>
  </si>
  <si>
    <t>Ambos síntomas ocurren a 170 m uno del otro: afectan a los mismos vecinos y calles. (Derivada de las coordenadas.)</t>
  </si>
  <si>
    <t>EDG-187</t>
  </si>
  <si>
    <t>Ambos síntomas ocurren a 340 m uno del otro: afectan a los mismos vecinos y calles. (Derivada de las coordenadas.)</t>
  </si>
  <si>
    <t>EDG-188</t>
  </si>
  <si>
    <t>Ambos síntomas ocurren a 530 m uno del otro: afectan a los mismos vecinos y calles. (Derivada de las coordenadas.)</t>
  </si>
  <si>
    <t>EDG-189</t>
  </si>
  <si>
    <t>Ambos síntomas ocurren a 490 m uno del otro: afectan a los mismos vecinos y calles. (Derivada de las coordenadas.)</t>
  </si>
  <si>
    <t>EDG-190</t>
  </si>
  <si>
    <t>Ambos síntomas ocurren a 300 m uno del otro: afectan a los mismos vecinos y calles. (Derivada de las coordenadas.)</t>
  </si>
  <si>
    <t>EDG-191</t>
  </si>
  <si>
    <t>Ambos síntomas ocurren a 210 m uno del otro: afectan a los mismos vecinos y calles. (Derivada de las coordenadas.)</t>
  </si>
  <si>
    <t>EDG-192</t>
  </si>
  <si>
    <t>EDG-193</t>
  </si>
  <si>
    <t>EDG-194</t>
  </si>
  <si>
    <t>EDG-195</t>
  </si>
  <si>
    <t>Ambos síntomas ocurren a 560 m uno del otro: afectan a los mismos vecinos y calles. (Derivada de las coordenadas.)</t>
  </si>
  <si>
    <t>EDG-196</t>
  </si>
  <si>
    <t>EDG-197</t>
  </si>
  <si>
    <t>Una misma entidad tiene competencia sobre ambos síntomas: EAAB, Secretaría de Ambiente. (Derivada de la columna Actores.)</t>
  </si>
  <si>
    <t>EDG-198</t>
  </si>
  <si>
    <t>Ambos síntomas ocurren a 250 m uno del otro: afectan a los mismos vecinos y calles. (Derivada de las coordenadas.)</t>
  </si>
  <si>
    <t>EDG-199</t>
  </si>
  <si>
    <t>EDG-200</t>
  </si>
  <si>
    <t>EDG-201</t>
  </si>
  <si>
    <t>Una misma entidad tiene competencia sobre ambos síntomas: EAAB. (Derivada de la columna Actores.)</t>
  </si>
  <si>
    <t>EDG-202</t>
  </si>
  <si>
    <t>EDG-203</t>
  </si>
  <si>
    <t>Ambos síntomas ocurren a 590 m uno del otro: afectan a los mismos vecinos y calles. (Derivada de las coordenadas.)</t>
  </si>
  <si>
    <t>EDG-204</t>
  </si>
  <si>
    <t>EDG-205</t>
  </si>
  <si>
    <t>EDG-206</t>
  </si>
  <si>
    <t>EDG-207</t>
  </si>
  <si>
    <t>Una misma entidad tiene competencia sobre ambos síntomas: Secretaría de Ambiente. (Derivada de la columna Actores.)</t>
  </si>
  <si>
    <t>EDG-208</t>
  </si>
  <si>
    <t>EDG-209</t>
  </si>
  <si>
    <t>EDG-210</t>
  </si>
  <si>
    <t>EDG-211</t>
  </si>
  <si>
    <t>EDG-212</t>
  </si>
  <si>
    <t>EDG-213</t>
  </si>
  <si>
    <t>EDG-214</t>
  </si>
  <si>
    <t>EDG-215</t>
  </si>
  <si>
    <t>EDG-216</t>
  </si>
  <si>
    <t>EDG-217</t>
  </si>
  <si>
    <t>EDG-218</t>
  </si>
  <si>
    <t>EDG-219</t>
  </si>
  <si>
    <t>Ambos síntomas ocurren a 550 m uno del otro: afectan a los mismos vecinos y calles. (Derivada de las coordenadas.)</t>
  </si>
  <si>
    <t>EDG-220</t>
  </si>
  <si>
    <t>Ambos síntomas ocurren a 260 m uno del otro: afectan a los mismos vecinos y calles. (Derivada de las coordenadas.)</t>
  </si>
  <si>
    <t>EDG-221</t>
  </si>
  <si>
    <t>EDG-222</t>
  </si>
  <si>
    <t>EDG-223</t>
  </si>
  <si>
    <t>EDG-224</t>
  </si>
  <si>
    <t>Ambos síntomas ocurren a 160 m uno del otro: afectan a los mismos vecinos y calles. (Derivada de las coordenadas.)</t>
  </si>
  <si>
    <t>EDG-225</t>
  </si>
  <si>
    <t>EDG-226</t>
  </si>
  <si>
    <t>EDG-227</t>
  </si>
  <si>
    <t>Ambos síntomas ocurren a 200 m uno del otro: afectan a los mismos vecinos y calles. (Derivada de las coordenadas.)</t>
  </si>
  <si>
    <t>EDG-228</t>
  </si>
  <si>
    <t>Una misma entidad tiene competencia sobre ambos síntomas: IDU. (Derivada de la columna Actores.)</t>
  </si>
  <si>
    <t>EDG-229</t>
  </si>
  <si>
    <t>Ambos síntomas ocurren a 110 m uno del otro: afectan a los mismos vecinos y calles. (Derivada de las coordenadas.)</t>
  </si>
  <si>
    <t>EDG-230</t>
  </si>
  <si>
    <t>Una misma entidad tiene competencia sobre ambos síntomas: IDU, Secretaría de Movilidad. (Derivada de la columna Actores.)</t>
  </si>
  <si>
    <t>EDG-231</t>
  </si>
  <si>
    <t>EDG-232</t>
  </si>
  <si>
    <t>Una misma entidad tiene competencia sobre ambos síntomas: Secretaría de Movilidad, TransMilenio. (Derivada de la columna Actores.)</t>
  </si>
  <si>
    <t>EDG-233</t>
  </si>
  <si>
    <t>Una misma entidad tiene competencia sobre ambos síntomas: IDU, TransMilenio. (Derivada de la columna Actores.)</t>
  </si>
  <si>
    <t>EDG-234</t>
  </si>
  <si>
    <t>Ambos síntomas ocurren a 330 m uno del otro: afectan a los mismos vecinos y calles. (Derivada de las coordenadas.)</t>
  </si>
  <si>
    <t>EDG-235</t>
  </si>
  <si>
    <t>Una misma entidad tiene competencia sobre ambos síntomas: Secretaría de Movilidad. (Derivada de la columna Actores.)</t>
  </si>
  <si>
    <t>EDG-236</t>
  </si>
  <si>
    <t>EDG-237</t>
  </si>
  <si>
    <t>EDG-238</t>
  </si>
  <si>
    <t>EDG-239</t>
  </si>
  <si>
    <t>EDG-240</t>
  </si>
  <si>
    <t>EDG-241</t>
  </si>
  <si>
    <t>Ambos síntomas ocurren a 470 m uno del otro: afectan a los mismos vecinos y calles. (Derivada de las coordenadas.)</t>
  </si>
  <si>
    <t>EDG-242</t>
  </si>
  <si>
    <t>Ambos síntomas ocurren a 570 m uno del otro: afectan a los mismos vecinos y calles. (Derivada de las coordenadas.)</t>
  </si>
  <si>
    <t>EDG-243</t>
  </si>
  <si>
    <t>EDG-244</t>
  </si>
  <si>
    <t>EDG-245</t>
  </si>
  <si>
    <t>EDG-246</t>
  </si>
  <si>
    <t>Ambos síntomas ocurren a 500 m uno del otro: afectan a los mismos vecinos y calles. (Derivada de las coordenadas.)</t>
  </si>
  <si>
    <t>EDG-247</t>
  </si>
  <si>
    <t>EDG-248</t>
  </si>
  <si>
    <t>EDG-249</t>
  </si>
  <si>
    <t>EDG-250</t>
  </si>
  <si>
    <t>Ambos síntomas ocurren a 320 m uno del otro: afectan a los mismos vecinos y calles. (Derivada de las coordenadas.)</t>
  </si>
  <si>
    <t>EDG-251</t>
  </si>
  <si>
    <t>Ambos síntomas ocurren a 400 m uno del otro: afectan a los mismos vecinos y calles. (Derivada de las coordenadas.)</t>
  </si>
  <si>
    <t>EDG-252</t>
  </si>
  <si>
    <t>EDG-253</t>
  </si>
  <si>
    <t>EDG-254</t>
  </si>
  <si>
    <t>EDG-255</t>
  </si>
  <si>
    <t>Ambos síntomas ocurren a 70 m uno del otro: afectan a los mismos vecinos y calles. (Derivada de las coordenadas.)</t>
  </si>
  <si>
    <t>EDG-256</t>
  </si>
  <si>
    <t>EDG-257</t>
  </si>
  <si>
    <t>EDG-258</t>
  </si>
  <si>
    <t>EDG-259</t>
  </si>
  <si>
    <t>EDG-260</t>
  </si>
  <si>
    <t>EDG-261</t>
  </si>
  <si>
    <t>EDG-262</t>
  </si>
  <si>
    <t>Ambos síntomas ocurren a 190 m uno del otro: afectan a los mismos vecinos y calles. (Derivada de las coordenadas.)</t>
  </si>
  <si>
    <t>EDG-263</t>
  </si>
  <si>
    <t>Una misma entidad tiene competencia sobre ambos síntomas: TransMilenio. (Derivada de la columna Actores.)</t>
  </si>
  <si>
    <t>EDG-264</t>
  </si>
  <si>
    <t>Ambos síntomas ocurren a 410 m uno del otro: afectan a los mismos vecinos y calles. (Derivada de las coordenadas.)</t>
  </si>
  <si>
    <t>EDG-265</t>
  </si>
  <si>
    <t>EDG-266</t>
  </si>
  <si>
    <t>EDG-267</t>
  </si>
  <si>
    <t>EDG-268</t>
  </si>
  <si>
    <t>EDG-269</t>
  </si>
  <si>
    <t>EDG-270</t>
  </si>
  <si>
    <t>EDG-271</t>
  </si>
  <si>
    <t>EDG-272</t>
  </si>
  <si>
    <t>EDG-273</t>
  </si>
  <si>
    <t>EDG-274</t>
  </si>
  <si>
    <t>EDG-275</t>
  </si>
  <si>
    <t>EDG-276</t>
  </si>
  <si>
    <t>EDG-277</t>
  </si>
  <si>
    <t>EDG-278</t>
  </si>
  <si>
    <t>EDG-279</t>
  </si>
  <si>
    <t>EDG-280</t>
  </si>
  <si>
    <t>EDG-281</t>
  </si>
  <si>
    <t>EDG-282</t>
  </si>
  <si>
    <t>EDG-283</t>
  </si>
  <si>
    <t>EDG-284</t>
  </si>
  <si>
    <t>EDG-285</t>
  </si>
  <si>
    <t>EDG-286</t>
  </si>
  <si>
    <t>EDG-287</t>
  </si>
  <si>
    <t>EDG-288</t>
  </si>
  <si>
    <t>EDG-289</t>
  </si>
  <si>
    <t>EDG-290</t>
  </si>
  <si>
    <t>EDG-291</t>
  </si>
  <si>
    <t>EDG-292</t>
  </si>
  <si>
    <t>EDG-293</t>
  </si>
  <si>
    <t>EDG-294</t>
  </si>
  <si>
    <t>EDG-295</t>
  </si>
  <si>
    <t>EDG-296</t>
  </si>
  <si>
    <t>EDG-297</t>
  </si>
  <si>
    <t>EDG-298</t>
  </si>
  <si>
    <t>Ambos síntomas ocurren a 350 m uno del otro: afectan a los mismos vecinos y calles. (Derivada de las coordenadas.)</t>
  </si>
  <si>
    <t>EDG-299</t>
  </si>
  <si>
    <t>EDG-300</t>
  </si>
  <si>
    <t>EDG-301</t>
  </si>
  <si>
    <t>EDG-302</t>
  </si>
  <si>
    <t>EDG-303</t>
  </si>
  <si>
    <t>EDG-304</t>
  </si>
  <si>
    <t>EDG-305</t>
  </si>
  <si>
    <t>EDG-306</t>
  </si>
  <si>
    <t>EDG-307</t>
  </si>
  <si>
    <t>EDG-308</t>
  </si>
  <si>
    <t>EDG-309</t>
  </si>
  <si>
    <t>EDG-310</t>
  </si>
  <si>
    <t>EDG-311</t>
  </si>
  <si>
    <t>EDG-312</t>
  </si>
  <si>
    <t>EDG-313</t>
  </si>
  <si>
    <t>EDG-314</t>
  </si>
  <si>
    <t>EDG-315</t>
  </si>
  <si>
    <t>EDG-316</t>
  </si>
  <si>
    <t>EDG-317</t>
  </si>
  <si>
    <t>EDG-318</t>
  </si>
  <si>
    <t>EDG-319</t>
  </si>
  <si>
    <t>EDG-320</t>
  </si>
  <si>
    <t>EDG-321</t>
  </si>
  <si>
    <t>EDG-322</t>
  </si>
  <si>
    <t>EDG-323</t>
  </si>
  <si>
    <t>EDG-324</t>
  </si>
  <si>
    <t>EDG-325</t>
  </si>
  <si>
    <t>EDG-326</t>
  </si>
  <si>
    <t>EDG-327</t>
  </si>
  <si>
    <t>EDG-328</t>
  </si>
  <si>
    <t>EDG-329</t>
  </si>
  <si>
    <t>EDG-330</t>
  </si>
  <si>
    <t>EDG-331</t>
  </si>
  <si>
    <t>EDG-332</t>
  </si>
  <si>
    <t>EDG-333</t>
  </si>
  <si>
    <t>EDG-334</t>
  </si>
  <si>
    <t>EDG-335</t>
  </si>
  <si>
    <t>EDG-336</t>
  </si>
  <si>
    <t>Ambos síntomas ocurren a 390 m uno del otro: afectan a los mismos vecinos y calles. (Derivada de las coordenadas.)</t>
  </si>
  <si>
    <t>EDG-337</t>
  </si>
  <si>
    <t>EDG-338</t>
  </si>
  <si>
    <t>EDG-339</t>
  </si>
  <si>
    <t>EDG-340</t>
  </si>
  <si>
    <t>EDG-341</t>
  </si>
  <si>
    <t>Ambos síntomas ocurren a 90 m uno del otro: afectan a los mismos vecinos y calles. (Derivada de las coordenadas.)</t>
  </si>
  <si>
    <t>EDG-342</t>
  </si>
  <si>
    <t>EDG-343</t>
  </si>
  <si>
    <t>EDG-344</t>
  </si>
  <si>
    <t>EDG-345</t>
  </si>
  <si>
    <t>EDG-346</t>
  </si>
  <si>
    <t>EDG-347</t>
  </si>
  <si>
    <t>EDG-348</t>
  </si>
  <si>
    <t>EDG-349</t>
  </si>
  <si>
    <t>EDG-350</t>
  </si>
  <si>
    <t>EDG-351</t>
  </si>
  <si>
    <t>EDG-352</t>
  </si>
  <si>
    <t>EDG-353</t>
  </si>
  <si>
    <t>EDG-354</t>
  </si>
  <si>
    <t>EDG-355</t>
  </si>
  <si>
    <t>EDG-356</t>
  </si>
  <si>
    <t>EDG-357</t>
  </si>
  <si>
    <t>EDG-358</t>
  </si>
  <si>
    <t>EDG-359</t>
  </si>
  <si>
    <t>EDG-360</t>
  </si>
  <si>
    <t>EDG-361</t>
  </si>
  <si>
    <t>EDG-362</t>
  </si>
  <si>
    <t>EDG-363</t>
  </si>
  <si>
    <t>EDG-364</t>
  </si>
  <si>
    <t>EDG-365</t>
  </si>
  <si>
    <t>EDG-366</t>
  </si>
  <si>
    <t>EDG-367</t>
  </si>
  <si>
    <t>EDG-368</t>
  </si>
  <si>
    <t>EDG-369</t>
  </si>
  <si>
    <t>EDG-370</t>
  </si>
  <si>
    <t>EDG-371</t>
  </si>
  <si>
    <t>Ambos síntomas ocurren a 460 m uno del otro: afectan a los mismos vecinos y calles. (Derivada de las coordenadas.)</t>
  </si>
  <si>
    <t>EDG-372</t>
  </si>
  <si>
    <t>EDG-373</t>
  </si>
  <si>
    <t>EDG-374</t>
  </si>
  <si>
    <t>Una misma entidad tiene competencia sobre ambos síntomas: Secretaría de la Mujer. (Derivada de la columna Actores.)</t>
  </si>
  <si>
    <t>EDG-375</t>
  </si>
  <si>
    <t>EDG-376</t>
  </si>
  <si>
    <t>EDG-377</t>
  </si>
  <si>
    <t>EDG-378</t>
  </si>
  <si>
    <t>EDG-379</t>
  </si>
  <si>
    <t>EDG-380</t>
  </si>
  <si>
    <t>EDG-381</t>
  </si>
  <si>
    <t>EDG-382</t>
  </si>
  <si>
    <t>EDG-383</t>
  </si>
  <si>
    <t>EDG-384</t>
  </si>
  <si>
    <t>EDG-385</t>
  </si>
  <si>
    <t>EDG-386</t>
  </si>
  <si>
    <t>EDG-387</t>
  </si>
  <si>
    <t>EDG-388</t>
  </si>
  <si>
    <t>EDG-389</t>
  </si>
  <si>
    <t>EDG-390</t>
  </si>
  <si>
    <t>EDG-391</t>
  </si>
  <si>
    <t>Ambos síntomas ocurren a 180 m uno del otro: afectan a los mismos vecinos y calles. (Derivada de las coordenadas.)</t>
  </si>
  <si>
    <t>EDG-392</t>
  </si>
  <si>
    <t>EDG-393</t>
  </si>
  <si>
    <t>EDG-394</t>
  </si>
  <si>
    <t>EDG-395</t>
  </si>
  <si>
    <t>EDG-396</t>
  </si>
  <si>
    <t>EDG-397</t>
  </si>
  <si>
    <t>EDG-398</t>
  </si>
  <si>
    <t>EDG-399</t>
  </si>
  <si>
    <t>EDG-400</t>
  </si>
  <si>
    <t>EDG-401</t>
  </si>
  <si>
    <t>EDG-402</t>
  </si>
  <si>
    <t>Ambos síntomas ocurren a 150 m uno del otro: afectan a los mismos vecinos y calles. (Derivada de las coordenadas.)</t>
  </si>
  <si>
    <t>EDG-403</t>
  </si>
  <si>
    <t>EDG-404</t>
  </si>
  <si>
    <t>EDG-405</t>
  </si>
  <si>
    <t>EDG-406</t>
  </si>
  <si>
    <t>EDG-407</t>
  </si>
  <si>
    <t>EDG-408</t>
  </si>
  <si>
    <t>Una misma entidad tiene competencia sobre ambos síntomas: Secretaría de Educación. (Derivada de la columna Actores.)</t>
  </si>
  <si>
    <t>EDG-409</t>
  </si>
  <si>
    <t>EDG-410</t>
  </si>
  <si>
    <t>EDG-411</t>
  </si>
  <si>
    <t>EDG-412</t>
  </si>
  <si>
    <t>Ambos síntomas ocurren a 270 m uno del otro: afectan a los mismos vecinos y calles. (Derivada de las coordenadas.)</t>
  </si>
  <si>
    <t>EDG-413</t>
  </si>
  <si>
    <t>Una misma entidad tiene competencia sobre ambos síntomas: Secretaría de Salud. (Derivada de la columna Actores.)</t>
  </si>
  <si>
    <t>EDG-414</t>
  </si>
  <si>
    <t>EDG-415</t>
  </si>
  <si>
    <t>EDG-416</t>
  </si>
  <si>
    <t>EDG-417</t>
  </si>
  <si>
    <t>EDG-418</t>
  </si>
  <si>
    <t>EDG-419</t>
  </si>
  <si>
    <t>EDG-420</t>
  </si>
  <si>
    <t>EDG-421</t>
  </si>
  <si>
    <t>EDG-422</t>
  </si>
  <si>
    <t>EDG-423</t>
  </si>
  <si>
    <t>Ambos síntomas ocurren a 360 m uno del otro: afectan a los mismos vecinos y calles. (Derivada de las coordenadas.)</t>
  </si>
  <si>
    <t>EDG-424</t>
  </si>
  <si>
    <t>EDG-425</t>
  </si>
  <si>
    <t>EDG-426</t>
  </si>
  <si>
    <t>EDG-427</t>
  </si>
  <si>
    <t>EDG-428</t>
  </si>
  <si>
    <t>EDG-429</t>
  </si>
  <si>
    <t>EDG-430</t>
  </si>
  <si>
    <t>Ambos síntomas ocurren a 450 m uno del otro: afectan a los mismos vecinos y calles. (Derivada de las coordenadas.)</t>
  </si>
  <si>
    <t>EDG-431</t>
  </si>
  <si>
    <t>EDG-432</t>
  </si>
  <si>
    <t>EDG-433</t>
  </si>
  <si>
    <t>EDG-434</t>
  </si>
  <si>
    <t>EDG-435</t>
  </si>
  <si>
    <t>EDG-436</t>
  </si>
  <si>
    <t>EDG-437</t>
  </si>
  <si>
    <t>EDG-438</t>
  </si>
  <si>
    <t>EDG-439</t>
  </si>
  <si>
    <t>Una misma entidad tiene competencia sobre ambos síntomas: Empresa Metro de Bogotá. (Derivada de la columna Actores.)</t>
  </si>
  <si>
    <t>EDG-440</t>
  </si>
  <si>
    <t>EDG-441</t>
  </si>
  <si>
    <t>EDG-442</t>
  </si>
  <si>
    <t>EDG-443</t>
  </si>
  <si>
    <t>EDG-444</t>
  </si>
  <si>
    <t>EDG-445</t>
  </si>
  <si>
    <t>EDG-446</t>
  </si>
  <si>
    <t>EDG-447</t>
  </si>
  <si>
    <t>EDG-448</t>
  </si>
  <si>
    <t>EDG-449</t>
  </si>
  <si>
    <t>EDG-450</t>
  </si>
  <si>
    <t>EDG-451</t>
  </si>
  <si>
    <t>Ambos síntomas ocurren a 480 m uno del otro: afectan a los mismos vecinos y calles. (Derivada de las coordenadas.)</t>
  </si>
  <si>
    <t>EDG-452</t>
  </si>
  <si>
    <t>EDG-453</t>
  </si>
  <si>
    <t>EDG-454</t>
  </si>
  <si>
    <t>EDG-455</t>
  </si>
  <si>
    <t>EDG-456</t>
  </si>
  <si>
    <t>EDG-457</t>
  </si>
  <si>
    <t>EDG-458</t>
  </si>
  <si>
    <t>EDG-459</t>
  </si>
  <si>
    <t>EDG-460</t>
  </si>
  <si>
    <t>EDG-461</t>
  </si>
  <si>
    <t>EDG-462</t>
  </si>
  <si>
    <t>EDG-463</t>
  </si>
  <si>
    <t>EDG-464</t>
  </si>
  <si>
    <t>EDG-465</t>
  </si>
  <si>
    <t>EDG-466</t>
  </si>
  <si>
    <t>EDG-467</t>
  </si>
  <si>
    <t>EDG-468</t>
  </si>
  <si>
    <t>EDG-469</t>
  </si>
  <si>
    <t>EDG-470</t>
  </si>
  <si>
    <t>EDG-471</t>
  </si>
  <si>
    <t>EDG-472</t>
  </si>
  <si>
    <t>EDG-473</t>
  </si>
  <si>
    <t>EDG-474</t>
  </si>
  <si>
    <t>EDG-475</t>
  </si>
  <si>
    <t>Ambos síntomas ocurren a 310 m uno del otro: afectan a los mismos vecinos y calles. (Derivada de las coordenadas.)</t>
  </si>
  <si>
    <t>EDG-476</t>
  </si>
  <si>
    <t>EDG-477</t>
  </si>
  <si>
    <t>EDG-478</t>
  </si>
  <si>
    <t>EDG-479</t>
  </si>
  <si>
    <t>EDG-480</t>
  </si>
  <si>
    <t>EDG-481</t>
  </si>
  <si>
    <t>EDG-482</t>
  </si>
  <si>
    <t>EDG-483</t>
  </si>
  <si>
    <t>EDG-484</t>
  </si>
  <si>
    <t>EDG-485</t>
  </si>
  <si>
    <t>EDG-486</t>
  </si>
  <si>
    <t>EDG-487</t>
  </si>
  <si>
    <t>EDG-488</t>
  </si>
  <si>
    <t>EDG-489</t>
  </si>
  <si>
    <t>Clave</t>
  </si>
  <si>
    <t>Valor</t>
  </si>
  <si>
    <t>titulo</t>
  </si>
  <si>
    <t>Síntomas y efectos de Kennedy — Economía, innovación y redes</t>
  </si>
  <si>
    <t>marca</t>
  </si>
  <si>
    <t>SÍNTOMAS Y EFECTOS · KENNEDY</t>
  </si>
  <si>
    <t>capa_efectos</t>
  </si>
  <si>
    <t>capa_clave</t>
  </si>
  <si>
    <t>secuencia</t>
  </si>
  <si>
    <t>si</t>
  </si>
  <si>
    <t>saludo</t>
  </si>
  <si>
    <t>la red de síntomas y efectos de Kennedy</t>
  </si>
  <si>
    <t>fuentes</t>
  </si>
  <si>
    <t>Alcaldía de Bogotá y Alcaldía Local de Kennedy|Secretaría de la Mujer (EM 2017)|Secretaría de Educación (Kennedy 2022)|Prensa y entidades distritales (ver Fuente de cada nodo)</t>
  </si>
  <si>
    <t>faq1_pregunta</t>
  </si>
  <si>
    <t>¿Qué es un síntoma y qué es un efecto?</t>
  </si>
  <si>
    <t>faq1_respuesta</t>
  </si>
  <si>
    <t>Un síntoma es un hecho observable y localizado en Kennedy (p. ej. la Calle 38 Sur deteriorada). Un efecto es lo que ese hecho provoca en el territorio (p. ej. rutas zonales desviadas). Al presionar un síntoma aparecen sus efectos.</t>
  </si>
  <si>
    <t>faq2_pregunta</t>
  </si>
  <si>
    <t>¿Cómo se relacionan economía, innovación y redes?</t>
  </si>
  <si>
    <t>faq2_respuesta</t>
  </si>
  <si>
    <t>La economía concentra el flujo en pocos nodos (Corabastos); la innovación debería transformar sus residuos y su conocimiento, pero la brecha digital y los centros cerrados lo impiden; las redes de transporte y de agua no son robustas ante bloqueos, obras o lluvias.</t>
  </si>
  <si>
    <t>faq3_pregunta</t>
  </si>
  <si>
    <t>¿Qué datos son verificados?</t>
  </si>
  <si>
    <t>faq3_respuesta</t>
  </si>
  <si>
    <t>Cada nodo indica su evidencia: Documentado (fuente pública), Inferido (por verificar en campo) o Dato del grupo (por contrastar con una fuente oficial). Las cifras que varían entre fuentes se señalan en el texto.</t>
  </si>
  <si>
    <t>faq4_pregunta</t>
  </si>
  <si>
    <t>¿Cómo veo todo en el territorio?</t>
  </si>
  <si>
    <t>faq4_respuesta</t>
  </si>
  <si>
    <t>Después de las imágenes vuelve la red grande; pulsa MATERIALIZAR y los síntomas y sus efectos aparecen sobre las coordenadas de Kennedy.</t>
  </si>
  <si>
    <t>Prueba</t>
  </si>
  <si>
    <t>Resultado</t>
  </si>
  <si>
    <t>Estado</t>
  </si>
  <si>
    <t>Nodos con ID duplicado</t>
  </si>
  <si>
    <t>Nodos con capa no valida</t>
  </si>
  <si>
    <t>Aristas con origen inexistente</t>
  </si>
  <si>
    <t>Aristas con destino inexistente</t>
  </si>
  <si>
    <t>Aristas con tipo fuera de catalogo</t>
  </si>
  <si>
    <t>Autoaristas</t>
  </si>
  <si>
    <t>Nodos aislados (grado 0)</t>
  </si>
  <si>
    <t>ESTADO GLOBAL</t>
  </si>
  <si>
    <t>Total nodos</t>
  </si>
  <si>
    <t>Total aristas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</si>
</sst>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color rgb="FFFFFFFF"/>
    </font>
    <font>
      <b/>
    </font>
  </fonts>
  <fills count="14">
    <fill>
      <patternFill patternType="none"/>
    </fill>
    <fill>
      <patternFill patternType="gray125"/>
    </fill>
    <fill>
      <patternFill patternType="solid">
        <fgColor rgb="FF1E293B"/>
      </patternFill>
    </fill>
    <fill>
      <patternFill patternType="solid">
        <fgColor rgb="FFFB923C"/>
      </patternFill>
    </fill>
    <fill>
      <patternFill patternType="solid">
        <fgColor rgb="FFA855F7"/>
      </patternFill>
    </fill>
    <fill>
      <patternFill patternType="solid">
        <fgColor rgb="FF38BDF8"/>
      </patternFill>
    </fill>
    <fill>
      <patternFill patternType="solid">
        <fgColor rgb="FF4ADE80"/>
      </patternFill>
    </fill>
    <fill>
      <patternFill patternType="solid">
        <fgColor rgb="FFF43F5E"/>
      </patternFill>
    </fill>
    <fill>
      <patternFill patternType="solid">
        <fgColor rgb="FFFACC15"/>
      </patternFill>
    </fill>
    <fill>
      <patternFill patternType="solid">
        <fgColor rgb="FFA3E635"/>
      </patternFill>
    </fill>
    <fill>
      <patternFill patternType="solid">
        <fgColor rgb="FF2DD4BF"/>
      </patternFill>
    </fill>
    <fill>
      <patternFill patternType="solid">
        <fgColor rgb="FFE879F9"/>
      </patternFill>
    </fill>
    <fill>
      <patternFill patternType="solid">
        <fgColor rgb="FF94A3B8"/>
      </patternFill>
    </fill>
    <fill>
      <patternFill patternType="solid">
        <fgColor rgb="FFC4B5FD"/>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2" borderId="0" xfId="0" applyFont="1" applyFill="1" applyAlignment="1">
      <alignment vertical="center" wrapText="1"/>
    </xf>
    <xf numFmtId="0" fontId="3" fillId="3" borderId="0" xfId="0" applyFont="1" applyFill="1"/>
    <xf numFmtId="0" fontId="3" fillId="4" borderId="0" xfId="0" applyFont="1" applyFill="1"/>
    <xf numFmtId="0" fontId="3" fillId="5" borderId="0" xfId="0" applyFont="1" applyFill="1"/>
    <xf numFmtId="0" fontId="3" fillId="6" borderId="0" xfId="0" applyFont="1" applyFill="1"/>
    <xf numFmtId="0" fontId="3" fillId="7" borderId="0" xfId="0" applyFont="1" applyFill="1"/>
    <xf numFmtId="0" fontId="3" fillId="8" borderId="0" xfId="0" applyFont="1" applyFill="1"/>
    <xf numFmtId="0" fontId="3" fillId="9" borderId="0" xfId="0" applyFont="1" applyFill="1"/>
    <xf numFmtId="0" fontId="3" fillId="10" borderId="0" xfId="0" applyFont="1" applyFill="1"/>
    <xf numFmtId="0" fontId="3" fillId="11" borderId="0" xfId="0" applyFont="1" applyFill="1"/>
    <xf numFmtId="0" fontId="3" fillId="12" borderId="0" xfId="0" applyFont="1" applyFill="1"/>
    <xf numFmtId="0" fontId="3"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FormatPr defaultRowHeight="15" outlineLevelRow="0" outlineLevelCol="0" x14ac:dyDescent="55"/>
  <cols>
    <col min="1" max="1" width="160" customWidth="1"/>
  </cols>
  <sheetData>
    <row r="1" spans="1:1" s="1" customFormat="1" x14ac:dyDescent="0.25">
      <c r="A1" s="1" t="s">
        <v>0</v>
      </c>
    </row>
    <row r="2" spans="1:1" x14ac:dyDescent="0.25">
      <c r="A2" t="s">
        <v>1</v>
      </c>
    </row>
    <row r="3" spans="1:1" x14ac:dyDescent="0.25">
      <c r="A3" t="s">
        <v>2</v>
      </c>
    </row>
    <row r="4" spans="1:1" x14ac:dyDescent="0.25">
      <c r="A4" t="s">
        <v>3</v>
      </c>
    </row>
    <row r="5" spans="1:1" x14ac:dyDescent="0.25">
      <c r="A5" t="s">
        <v>1</v>
      </c>
    </row>
    <row r="6" spans="1:1" x14ac:dyDescent="0.25">
      <c r="A6" t="s">
        <v>4</v>
      </c>
    </row>
    <row r="7" spans="1:1" x14ac:dyDescent="0.25">
      <c r="A7" t="s">
        <v>5</v>
      </c>
    </row>
    <row r="8" spans="1:1" x14ac:dyDescent="0.25">
      <c r="A8" t="s">
        <v>6</v>
      </c>
    </row>
    <row r="9" spans="1:1" x14ac:dyDescent="0.25">
      <c r="A9" t="s">
        <v>7</v>
      </c>
    </row>
    <row r="10" spans="1:1" x14ac:dyDescent="0.25">
      <c r="A10" t="s">
        <v>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pane ySplit="1" topLeftCell="A2" activePane="bottomLeft" state="frozen"/>
      <selection pane="bottomLeft"/>
    </sheetView>
  </sheetViews>
  <sheetFormatPr defaultRowHeight="15" outlineLevelRow="0" outlineLevelCol="0" x14ac:dyDescent="55"/>
  <cols>
    <col min="2" max="2" width="32" customWidth="1"/>
    <col min="3" max="3" width="70" customWidth="1"/>
    <col min="4" max="4" width="13" customWidth="1"/>
    <col min="5" max="5" width="22" customWidth="1"/>
    <col min="6" max="6" width="16" customWidth="1"/>
  </cols>
  <sheetData>
    <row r="1" spans="1:6" x14ac:dyDescent="0.25">
      <c r="A1" s="2" t="s">
        <v>9</v>
      </c>
      <c r="B1" s="2" t="s">
        <v>10</v>
      </c>
      <c r="C1" s="2" t="s">
        <v>11</v>
      </c>
      <c r="D1" s="2" t="s">
        <v>12</v>
      </c>
      <c r="E1" s="2" t="s">
        <v>13</v>
      </c>
      <c r="F1" s="2" t="s">
        <v>14</v>
      </c>
    </row>
    <row r="2" spans="1:6" x14ac:dyDescent="0.25">
      <c r="A2" t="s">
        <v>15</v>
      </c>
      <c r="B2" t="s">
        <v>16</v>
      </c>
      <c r="C2" t="s">
        <v>17</v>
      </c>
      <c r="D2" s="3" t="s">
        <v>18</v>
      </c>
      <c r="E2" t="s">
        <v>19</v>
      </c>
      <c r="F2" t="s">
        <v>20</v>
      </c>
    </row>
    <row r="3" spans="1:6" x14ac:dyDescent="0.25">
      <c r="A3" t="s">
        <v>21</v>
      </c>
      <c r="B3" t="s">
        <v>22</v>
      </c>
      <c r="C3" t="s">
        <v>23</v>
      </c>
      <c r="D3" s="4" t="s">
        <v>24</v>
      </c>
      <c r="E3" t="s">
        <v>25</v>
      </c>
      <c r="F3" t="s">
        <v>26</v>
      </c>
    </row>
    <row r="4" spans="1:6" x14ac:dyDescent="0.25">
      <c r="A4" t="s">
        <v>27</v>
      </c>
      <c r="B4" t="s">
        <v>28</v>
      </c>
      <c r="C4" t="s">
        <v>29</v>
      </c>
      <c r="D4" s="5" t="s">
        <v>30</v>
      </c>
      <c r="E4" t="s">
        <v>31</v>
      </c>
      <c r="F4" t="s">
        <v>32</v>
      </c>
    </row>
    <row r="5" spans="1:6" x14ac:dyDescent="0.25">
      <c r="A5" t="s">
        <v>33</v>
      </c>
      <c r="B5" t="s">
        <v>34</v>
      </c>
      <c r="C5" t="s">
        <v>35</v>
      </c>
      <c r="D5" s="6" t="s">
        <v>36</v>
      </c>
      <c r="E5" t="s">
        <v>37</v>
      </c>
      <c r="F5" t="s">
        <v>38</v>
      </c>
    </row>
    <row r="6" spans="1:6" x14ac:dyDescent="0.25">
      <c r="A6" t="s">
        <v>39</v>
      </c>
      <c r="B6" t="s">
        <v>40</v>
      </c>
      <c r="C6" t="s">
        <v>41</v>
      </c>
      <c r="D6" s="7" t="s">
        <v>42</v>
      </c>
      <c r="E6" t="s">
        <v>43</v>
      </c>
      <c r="F6" t="s">
        <v>44</v>
      </c>
    </row>
  </sheetData>
  <autoFilter ref="A1:F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2" max="2" width="38" customWidth="1"/>
    <col min="3" max="3" width="80" customWidth="1"/>
    <col min="4" max="4" width="13" customWidth="1"/>
    <col min="5" max="5" width="26" customWidth="1"/>
  </cols>
  <sheetData>
    <row r="1" spans="1:5" x14ac:dyDescent="0.25">
      <c r="A1" s="2" t="s">
        <v>9</v>
      </c>
      <c r="B1" s="2" t="s">
        <v>45</v>
      </c>
      <c r="C1" s="2" t="s">
        <v>46</v>
      </c>
      <c r="D1" s="2" t="s">
        <v>12</v>
      </c>
      <c r="E1" s="2" t="s">
        <v>13</v>
      </c>
    </row>
    <row r="2" spans="1:5" x14ac:dyDescent="0.25">
      <c r="A2" t="s">
        <v>47</v>
      </c>
      <c r="B2" t="s">
        <v>48</v>
      </c>
      <c r="C2" t="s">
        <v>49</v>
      </c>
      <c r="D2" s="3" t="s">
        <v>18</v>
      </c>
      <c r="E2" t="s">
        <v>19</v>
      </c>
    </row>
    <row r="3" spans="1:5" x14ac:dyDescent="0.25">
      <c r="A3" t="s">
        <v>50</v>
      </c>
      <c r="B3" t="s">
        <v>51</v>
      </c>
      <c r="C3" t="s">
        <v>52</v>
      </c>
      <c r="D3" s="6" t="s">
        <v>36</v>
      </c>
      <c r="E3" t="s">
        <v>53</v>
      </c>
    </row>
    <row r="4" spans="1:5" x14ac:dyDescent="0.25">
      <c r="A4" t="s">
        <v>54</v>
      </c>
      <c r="B4" t="s">
        <v>55</v>
      </c>
      <c r="C4" t="s">
        <v>56</v>
      </c>
      <c r="D4" s="5" t="s">
        <v>30</v>
      </c>
      <c r="E4" t="s">
        <v>31</v>
      </c>
    </row>
    <row r="5" spans="1:5" x14ac:dyDescent="0.25">
      <c r="A5" t="s">
        <v>57</v>
      </c>
      <c r="B5" t="s">
        <v>58</v>
      </c>
      <c r="C5" t="s">
        <v>59</v>
      </c>
      <c r="D5" s="7" t="s">
        <v>42</v>
      </c>
      <c r="E5" t="s">
        <v>60</v>
      </c>
    </row>
    <row r="6" spans="1:5" x14ac:dyDescent="0.25">
      <c r="A6" t="s">
        <v>61</v>
      </c>
      <c r="B6" t="s">
        <v>62</v>
      </c>
      <c r="C6" t="s">
        <v>63</v>
      </c>
      <c r="D6" s="8" t="s">
        <v>64</v>
      </c>
      <c r="E6" t="s">
        <v>65</v>
      </c>
    </row>
    <row r="7" spans="1:5" x14ac:dyDescent="0.25">
      <c r="A7" t="s">
        <v>66</v>
      </c>
      <c r="B7" t="s">
        <v>67</v>
      </c>
      <c r="C7" t="s">
        <v>68</v>
      </c>
      <c r="D7" s="9" t="s">
        <v>69</v>
      </c>
      <c r="E7" t="s">
        <v>70</v>
      </c>
    </row>
    <row r="8" spans="1:5" x14ac:dyDescent="0.25">
      <c r="A8" t="s">
        <v>71</v>
      </c>
      <c r="B8" t="s">
        <v>72</v>
      </c>
      <c r="C8" t="s">
        <v>73</v>
      </c>
      <c r="D8" s="10" t="s">
        <v>74</v>
      </c>
      <c r="E8" t="s">
        <v>75</v>
      </c>
    </row>
    <row r="9" spans="1:5" x14ac:dyDescent="0.25">
      <c r="A9" t="s">
        <v>76</v>
      </c>
      <c r="B9" t="s">
        <v>77</v>
      </c>
      <c r="C9" t="s">
        <v>78</v>
      </c>
      <c r="D9" s="11" t="s">
        <v>79</v>
      </c>
      <c r="E9" t="s">
        <v>80</v>
      </c>
    </row>
    <row r="10" spans="1:5" x14ac:dyDescent="0.25">
      <c r="A10" t="s">
        <v>81</v>
      </c>
      <c r="B10" t="s">
        <v>82</v>
      </c>
      <c r="C10" t="s">
        <v>83</v>
      </c>
      <c r="D10" s="12" t="s">
        <v>84</v>
      </c>
      <c r="E10" t="s">
        <v>85</v>
      </c>
    </row>
    <row r="11" spans="1:5" x14ac:dyDescent="0.25">
      <c r="A11" t="s">
        <v>86</v>
      </c>
      <c r="B11" t="s">
        <v>87</v>
      </c>
      <c r="C11" t="s">
        <v>88</v>
      </c>
      <c r="D11" s="13" t="s">
        <v>89</v>
      </c>
      <c r="E11" t="s">
        <v>90</v>
      </c>
    </row>
  </sheetData>
  <autoFilter ref="A1:E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6" customWidth="1"/>
    <col min="3" max="4" width="28" customWidth="1"/>
    <col min="5" max="5" width="26" customWidth="1"/>
    <col min="6" max="6" width="40" customWidth="1"/>
    <col min="7" max="7" width="80" customWidth="1"/>
    <col min="8" max="8" width="70" customWidth="1"/>
    <col min="9" max="9" width="40" customWidth="1"/>
    <col min="10" max="10" width="50" customWidth="1"/>
    <col min="11" max="11" width="60" customWidth="1"/>
    <col min="12" max="12" width="22" customWidth="1"/>
    <col min="13" max="14" width="11" customWidth="1"/>
    <col min="15" max="16" width="30" customWidth="1"/>
    <col min="17" max="17" width="50" customWidth="1"/>
    <col min="18" max="18" width="26" customWidth="1"/>
  </cols>
  <sheetData>
    <row r="1" spans="1:18" x14ac:dyDescent="0.25">
      <c r="A1" s="2" t="s">
        <v>91</v>
      </c>
      <c r="B1" s="2" t="s">
        <v>92</v>
      </c>
      <c r="C1" s="2" t="s">
        <v>93</v>
      </c>
      <c r="D1" s="2" t="s">
        <v>94</v>
      </c>
      <c r="E1" s="2" t="s">
        <v>95</v>
      </c>
      <c r="F1" s="2" t="s">
        <v>96</v>
      </c>
      <c r="G1" s="2" t="s">
        <v>97</v>
      </c>
      <c r="H1" s="2" t="s">
        <v>98</v>
      </c>
      <c r="I1" s="2" t="s">
        <v>99</v>
      </c>
      <c r="J1" s="2" t="s">
        <v>100</v>
      </c>
      <c r="K1" s="2" t="s">
        <v>101</v>
      </c>
      <c r="L1" s="2" t="s">
        <v>102</v>
      </c>
      <c r="M1" s="2" t="s">
        <v>103</v>
      </c>
      <c r="N1" s="2" t="s">
        <v>104</v>
      </c>
      <c r="O1" s="2" t="s">
        <v>105</v>
      </c>
      <c r="P1" s="2" t="s">
        <v>106</v>
      </c>
      <c r="Q1" s="2" t="s">
        <v>107</v>
      </c>
      <c r="R1" s="2" t="s">
        <v>13</v>
      </c>
    </row>
    <row r="2" spans="1:18" x14ac:dyDescent="0.25">
      <c r="A2" t="s">
        <v>108</v>
      </c>
      <c r="B2" t="s">
        <v>109</v>
      </c>
      <c r="C2" t="s">
        <v>16</v>
      </c>
      <c r="D2" t="s">
        <v>110</v>
      </c>
      <c r="E2" t="s">
        <v>111</v>
      </c>
      <c r="F2" t="s">
        <v>112</v>
      </c>
      <c r="G2" t="s">
        <v>113</v>
      </c>
      <c r="H2" t="s">
        <v>114</v>
      </c>
      <c r="I2" t="s">
        <v>115</v>
      </c>
      <c r="J2" t="s">
        <v>116</v>
      </c>
      <c r="K2" t="s">
        <v>117</v>
      </c>
      <c r="L2" t="s">
        <v>1</v>
      </c>
      <c r="M2">
        <v>4.6302</v>
      </c>
      <c r="N2">
        <v>-74.1588</v>
      </c>
      <c r="O2" t="s">
        <v>1</v>
      </c>
      <c r="P2" t="s">
        <v>1</v>
      </c>
      <c r="Q2" t="s">
        <v>118</v>
      </c>
      <c r="R2" t="s">
        <v>119</v>
      </c>
    </row>
    <row r="3" spans="1:18" x14ac:dyDescent="0.25">
      <c r="A3" t="s">
        <v>120</v>
      </c>
      <c r="B3" t="s">
        <v>121</v>
      </c>
      <c r="C3" t="s">
        <v>16</v>
      </c>
      <c r="D3" t="s">
        <v>122</v>
      </c>
      <c r="E3" t="s">
        <v>111</v>
      </c>
      <c r="F3" t="s">
        <v>123</v>
      </c>
      <c r="G3" t="s">
        <v>124</v>
      </c>
      <c r="H3" t="s">
        <v>125</v>
      </c>
      <c r="I3" t="s">
        <v>126</v>
      </c>
      <c r="J3" t="s">
        <v>116</v>
      </c>
      <c r="K3" t="s">
        <v>127</v>
      </c>
      <c r="L3" t="s">
        <v>1</v>
      </c>
      <c r="M3">
        <v>4.635</v>
      </c>
      <c r="N3">
        <v>-74.165</v>
      </c>
      <c r="O3" t="s">
        <v>1</v>
      </c>
      <c r="P3" t="s">
        <v>1</v>
      </c>
      <c r="Q3" t="s">
        <v>128</v>
      </c>
      <c r="R3" t="s">
        <v>129</v>
      </c>
    </row>
    <row r="4" spans="1:18" x14ac:dyDescent="0.25">
      <c r="A4" t="s">
        <v>130</v>
      </c>
      <c r="B4" t="s">
        <v>131</v>
      </c>
      <c r="C4" t="s">
        <v>16</v>
      </c>
      <c r="D4" t="s">
        <v>132</v>
      </c>
      <c r="E4" t="s">
        <v>111</v>
      </c>
      <c r="F4" t="s">
        <v>133</v>
      </c>
      <c r="G4" t="s">
        <v>134</v>
      </c>
      <c r="H4" t="s">
        <v>135</v>
      </c>
      <c r="I4" t="s">
        <v>136</v>
      </c>
      <c r="J4" t="s">
        <v>116</v>
      </c>
      <c r="K4" t="s">
        <v>137</v>
      </c>
      <c r="L4" t="s">
        <v>1</v>
      </c>
      <c r="M4">
        <v>4.6255</v>
      </c>
      <c r="N4">
        <v>-74.1565</v>
      </c>
      <c r="O4" t="s">
        <v>1</v>
      </c>
      <c r="P4" t="s">
        <v>1</v>
      </c>
      <c r="Q4" t="s">
        <v>138</v>
      </c>
      <c r="R4" t="s">
        <v>37</v>
      </c>
    </row>
    <row r="5" spans="1:18" x14ac:dyDescent="0.25">
      <c r="A5" t="s">
        <v>139</v>
      </c>
      <c r="B5" t="s">
        <v>140</v>
      </c>
      <c r="C5" t="s">
        <v>22</v>
      </c>
      <c r="D5" t="s">
        <v>141</v>
      </c>
      <c r="E5" t="s">
        <v>111</v>
      </c>
      <c r="F5" t="s">
        <v>142</v>
      </c>
      <c r="G5" t="s">
        <v>143</v>
      </c>
      <c r="H5" t="s">
        <v>144</v>
      </c>
      <c r="I5" t="s">
        <v>145</v>
      </c>
      <c r="J5" t="s">
        <v>146</v>
      </c>
      <c r="K5" t="s">
        <v>147</v>
      </c>
      <c r="L5" t="s">
        <v>1</v>
      </c>
      <c r="M5">
        <v>4.6404</v>
      </c>
      <c r="N5">
        <v>-74.1693</v>
      </c>
      <c r="O5" t="s">
        <v>1</v>
      </c>
      <c r="P5" t="s">
        <v>1</v>
      </c>
      <c r="Q5" t="s">
        <v>148</v>
      </c>
      <c r="R5" t="s">
        <v>149</v>
      </c>
    </row>
    <row r="6" spans="1:18" x14ac:dyDescent="0.25">
      <c r="A6" t="s">
        <v>150</v>
      </c>
      <c r="B6" t="s">
        <v>151</v>
      </c>
      <c r="C6" t="s">
        <v>22</v>
      </c>
      <c r="D6" t="s">
        <v>152</v>
      </c>
      <c r="E6" t="s">
        <v>111</v>
      </c>
      <c r="F6" t="s">
        <v>153</v>
      </c>
      <c r="G6" t="s">
        <v>154</v>
      </c>
      <c r="H6" t="s">
        <v>155</v>
      </c>
      <c r="I6" t="s">
        <v>156</v>
      </c>
      <c r="J6" t="s">
        <v>146</v>
      </c>
      <c r="K6" t="s">
        <v>157</v>
      </c>
      <c r="L6" t="s">
        <v>1</v>
      </c>
      <c r="M6">
        <v>4.6315</v>
      </c>
      <c r="N6">
        <v>-74.1595</v>
      </c>
      <c r="O6" t="s">
        <v>1</v>
      </c>
      <c r="P6" t="s">
        <v>1</v>
      </c>
      <c r="Q6" t="s">
        <v>158</v>
      </c>
      <c r="R6" t="s">
        <v>159</v>
      </c>
    </row>
    <row r="7" spans="1:18" x14ac:dyDescent="0.25">
      <c r="A7" t="s">
        <v>160</v>
      </c>
      <c r="B7" t="s">
        <v>161</v>
      </c>
      <c r="C7" t="s">
        <v>22</v>
      </c>
      <c r="D7" t="s">
        <v>152</v>
      </c>
      <c r="E7" t="s">
        <v>111</v>
      </c>
      <c r="F7" t="s">
        <v>162</v>
      </c>
      <c r="G7" t="s">
        <v>163</v>
      </c>
      <c r="H7" t="s">
        <v>164</v>
      </c>
      <c r="I7" t="s">
        <v>165</v>
      </c>
      <c r="J7" t="s">
        <v>146</v>
      </c>
      <c r="K7" t="s">
        <v>166</v>
      </c>
      <c r="L7" t="s">
        <v>1</v>
      </c>
      <c r="M7">
        <v>4.6287</v>
      </c>
      <c r="N7">
        <v>-74.1625</v>
      </c>
      <c r="O7" t="s">
        <v>1</v>
      </c>
      <c r="P7" t="s">
        <v>1</v>
      </c>
      <c r="Q7" t="s">
        <v>167</v>
      </c>
      <c r="R7" t="s">
        <v>53</v>
      </c>
    </row>
    <row r="8" spans="1:18" x14ac:dyDescent="0.25">
      <c r="A8" t="s">
        <v>168</v>
      </c>
      <c r="B8" t="s">
        <v>169</v>
      </c>
      <c r="C8" t="s">
        <v>22</v>
      </c>
      <c r="D8" t="s">
        <v>170</v>
      </c>
      <c r="E8" t="s">
        <v>111</v>
      </c>
      <c r="F8" t="s">
        <v>171</v>
      </c>
      <c r="G8" t="s">
        <v>172</v>
      </c>
      <c r="H8" t="s">
        <v>173</v>
      </c>
      <c r="I8" t="s">
        <v>174</v>
      </c>
      <c r="J8" t="s">
        <v>146</v>
      </c>
      <c r="K8" t="s">
        <v>175</v>
      </c>
      <c r="L8" t="s">
        <v>1</v>
      </c>
      <c r="M8">
        <v>4.6014</v>
      </c>
      <c r="N8">
        <v>-74.1384</v>
      </c>
      <c r="O8" t="s">
        <v>1</v>
      </c>
      <c r="P8" t="s">
        <v>1</v>
      </c>
      <c r="Q8" t="s">
        <v>176</v>
      </c>
      <c r="R8" t="s">
        <v>177</v>
      </c>
    </row>
    <row r="9" spans="1:18" x14ac:dyDescent="0.25">
      <c r="A9" t="s">
        <v>178</v>
      </c>
      <c r="B9" t="s">
        <v>179</v>
      </c>
      <c r="C9" t="s">
        <v>34</v>
      </c>
      <c r="D9" t="s">
        <v>180</v>
      </c>
      <c r="E9" t="s">
        <v>111</v>
      </c>
      <c r="F9" t="s">
        <v>181</v>
      </c>
      <c r="G9" t="s">
        <v>182</v>
      </c>
      <c r="H9" t="s">
        <v>183</v>
      </c>
      <c r="I9" t="s">
        <v>184</v>
      </c>
      <c r="J9" t="s">
        <v>116</v>
      </c>
      <c r="K9" t="s">
        <v>185</v>
      </c>
      <c r="L9" t="s">
        <v>1</v>
      </c>
      <c r="M9">
        <v>4.631</v>
      </c>
      <c r="N9">
        <v>-74.158</v>
      </c>
      <c r="O9" t="s">
        <v>1</v>
      </c>
      <c r="P9" t="s">
        <v>1</v>
      </c>
      <c r="Q9" t="s">
        <v>186</v>
      </c>
      <c r="R9" t="s">
        <v>187</v>
      </c>
    </row>
    <row r="10" spans="1:18" x14ac:dyDescent="0.25">
      <c r="A10" t="s">
        <v>188</v>
      </c>
      <c r="B10" t="s">
        <v>189</v>
      </c>
      <c r="C10" t="s">
        <v>28</v>
      </c>
      <c r="D10" t="s">
        <v>190</v>
      </c>
      <c r="E10" t="s">
        <v>111</v>
      </c>
      <c r="F10" t="s">
        <v>191</v>
      </c>
      <c r="G10" t="s">
        <v>192</v>
      </c>
      <c r="H10" t="s">
        <v>193</v>
      </c>
      <c r="I10" t="s">
        <v>194</v>
      </c>
      <c r="J10" t="s">
        <v>195</v>
      </c>
      <c r="K10" t="s">
        <v>196</v>
      </c>
      <c r="L10" t="s">
        <v>1</v>
      </c>
      <c r="M10">
        <v>4.6294</v>
      </c>
      <c r="N10">
        <v>-74.1724</v>
      </c>
      <c r="O10" t="s">
        <v>1</v>
      </c>
      <c r="P10" t="s">
        <v>1</v>
      </c>
      <c r="Q10" t="s">
        <v>197</v>
      </c>
      <c r="R10" t="s">
        <v>198</v>
      </c>
    </row>
    <row r="11" spans="1:18" x14ac:dyDescent="0.25">
      <c r="A11" t="s">
        <v>199</v>
      </c>
      <c r="B11" t="s">
        <v>200</v>
      </c>
      <c r="C11" t="s">
        <v>28</v>
      </c>
      <c r="D11" t="s">
        <v>190</v>
      </c>
      <c r="E11" t="s">
        <v>111</v>
      </c>
      <c r="F11" t="s">
        <v>201</v>
      </c>
      <c r="G11" t="s">
        <v>202</v>
      </c>
      <c r="H11" t="s">
        <v>203</v>
      </c>
      <c r="I11" t="s">
        <v>204</v>
      </c>
      <c r="J11" t="s">
        <v>195</v>
      </c>
      <c r="K11" t="s">
        <v>205</v>
      </c>
      <c r="L11" t="s">
        <v>1</v>
      </c>
      <c r="M11">
        <v>4.6285</v>
      </c>
      <c r="N11">
        <v>-74.165</v>
      </c>
      <c r="O11" t="s">
        <v>1</v>
      </c>
      <c r="P11" t="s">
        <v>1</v>
      </c>
      <c r="Q11" t="s">
        <v>206</v>
      </c>
      <c r="R11" t="s">
        <v>207</v>
      </c>
    </row>
    <row r="12" spans="1:18" x14ac:dyDescent="0.25">
      <c r="A12" t="s">
        <v>208</v>
      </c>
      <c r="B12" t="s">
        <v>209</v>
      </c>
      <c r="C12" t="s">
        <v>28</v>
      </c>
      <c r="D12" t="s">
        <v>190</v>
      </c>
      <c r="E12" t="s">
        <v>111</v>
      </c>
      <c r="F12" t="s">
        <v>210</v>
      </c>
      <c r="G12" t="s">
        <v>211</v>
      </c>
      <c r="H12" t="s">
        <v>212</v>
      </c>
      <c r="I12" t="s">
        <v>213</v>
      </c>
      <c r="J12" t="s">
        <v>195</v>
      </c>
      <c r="K12" t="s">
        <v>214</v>
      </c>
      <c r="L12" t="s">
        <v>1</v>
      </c>
      <c r="M12">
        <v>4.64</v>
      </c>
      <c r="N12">
        <v>-74.169</v>
      </c>
      <c r="O12" t="s">
        <v>1</v>
      </c>
      <c r="P12" t="s">
        <v>1</v>
      </c>
      <c r="Q12" t="s">
        <v>215</v>
      </c>
      <c r="R12" t="s">
        <v>216</v>
      </c>
    </row>
    <row r="13" spans="1:18" x14ac:dyDescent="0.25">
      <c r="A13" t="s">
        <v>217</v>
      </c>
      <c r="B13" t="s">
        <v>218</v>
      </c>
      <c r="C13" t="s">
        <v>28</v>
      </c>
      <c r="D13" t="s">
        <v>190</v>
      </c>
      <c r="E13" t="s">
        <v>111</v>
      </c>
      <c r="F13" t="s">
        <v>219</v>
      </c>
      <c r="G13" t="s">
        <v>220</v>
      </c>
      <c r="H13" t="s">
        <v>221</v>
      </c>
      <c r="I13" t="s">
        <v>222</v>
      </c>
      <c r="J13" t="s">
        <v>195</v>
      </c>
      <c r="K13" t="s">
        <v>223</v>
      </c>
      <c r="L13" t="s">
        <v>1</v>
      </c>
      <c r="M13">
        <v>4.63</v>
      </c>
      <c r="N13">
        <v>-74.1732</v>
      </c>
      <c r="O13" t="s">
        <v>1</v>
      </c>
      <c r="P13" t="s">
        <v>1</v>
      </c>
      <c r="Q13" t="s">
        <v>224</v>
      </c>
      <c r="R13" t="s">
        <v>225</v>
      </c>
    </row>
    <row r="14" spans="1:18" x14ac:dyDescent="0.25">
      <c r="A14" t="s">
        <v>226</v>
      </c>
      <c r="B14" t="s">
        <v>227</v>
      </c>
      <c r="C14" t="s">
        <v>28</v>
      </c>
      <c r="D14" t="s">
        <v>228</v>
      </c>
      <c r="E14" t="s">
        <v>229</v>
      </c>
      <c r="F14" t="s">
        <v>230</v>
      </c>
      <c r="G14" t="s">
        <v>231</v>
      </c>
      <c r="H14" t="s">
        <v>232</v>
      </c>
      <c r="I14" t="s">
        <v>233</v>
      </c>
      <c r="J14" t="s">
        <v>195</v>
      </c>
      <c r="K14" t="s">
        <v>234</v>
      </c>
      <c r="L14" t="s">
        <v>1</v>
      </c>
      <c r="M14">
        <v>4.6322</v>
      </c>
      <c r="N14">
        <v>-74.1565</v>
      </c>
      <c r="O14" t="s">
        <v>1</v>
      </c>
      <c r="P14" t="s">
        <v>1</v>
      </c>
      <c r="Q14" t="s">
        <v>235</v>
      </c>
      <c r="R14" t="s">
        <v>236</v>
      </c>
    </row>
    <row r="15" spans="1:18" x14ac:dyDescent="0.25">
      <c r="A15" t="s">
        <v>237</v>
      </c>
      <c r="B15" t="s">
        <v>238</v>
      </c>
      <c r="C15" t="s">
        <v>34</v>
      </c>
      <c r="D15" t="s">
        <v>239</v>
      </c>
      <c r="E15" t="s">
        <v>111</v>
      </c>
      <c r="F15" t="s">
        <v>240</v>
      </c>
      <c r="G15" t="s">
        <v>241</v>
      </c>
      <c r="H15" t="s">
        <v>242</v>
      </c>
      <c r="I15" t="s">
        <v>243</v>
      </c>
      <c r="J15" t="s">
        <v>195</v>
      </c>
      <c r="K15" t="s">
        <v>244</v>
      </c>
      <c r="L15" t="s">
        <v>1</v>
      </c>
      <c r="M15">
        <v>4.6414</v>
      </c>
      <c r="N15">
        <v>-74.1496</v>
      </c>
      <c r="O15" t="s">
        <v>1</v>
      </c>
      <c r="P15" t="s">
        <v>1</v>
      </c>
      <c r="Q15" t="s">
        <v>245</v>
      </c>
      <c r="R15" t="s">
        <v>70</v>
      </c>
    </row>
    <row r="16" spans="1:18" x14ac:dyDescent="0.25">
      <c r="A16" t="s">
        <v>246</v>
      </c>
      <c r="B16" t="s">
        <v>247</v>
      </c>
      <c r="C16" t="s">
        <v>34</v>
      </c>
      <c r="D16" t="s">
        <v>239</v>
      </c>
      <c r="E16" t="s">
        <v>111</v>
      </c>
      <c r="F16" t="s">
        <v>248</v>
      </c>
      <c r="G16" t="s">
        <v>249</v>
      </c>
      <c r="H16" t="s">
        <v>250</v>
      </c>
      <c r="I16" t="s">
        <v>251</v>
      </c>
      <c r="J16" t="s">
        <v>195</v>
      </c>
      <c r="K16" t="s">
        <v>252</v>
      </c>
      <c r="L16" t="s">
        <v>1</v>
      </c>
      <c r="M16">
        <v>4.627</v>
      </c>
      <c r="N16">
        <v>-74.161</v>
      </c>
      <c r="O16" t="s">
        <v>1</v>
      </c>
      <c r="P16" t="s">
        <v>1</v>
      </c>
      <c r="Q16" t="s">
        <v>253</v>
      </c>
      <c r="R16" t="s">
        <v>254</v>
      </c>
    </row>
    <row r="17" spans="1:18" x14ac:dyDescent="0.25">
      <c r="A17" t="s">
        <v>255</v>
      </c>
      <c r="B17" t="s">
        <v>256</v>
      </c>
      <c r="C17" t="s">
        <v>34</v>
      </c>
      <c r="D17" t="s">
        <v>239</v>
      </c>
      <c r="E17" t="s">
        <v>111</v>
      </c>
      <c r="F17" t="s">
        <v>257</v>
      </c>
      <c r="G17" t="s">
        <v>258</v>
      </c>
      <c r="H17" t="s">
        <v>259</v>
      </c>
      <c r="I17" t="s">
        <v>260</v>
      </c>
      <c r="J17" t="s">
        <v>195</v>
      </c>
      <c r="K17" t="s">
        <v>261</v>
      </c>
      <c r="L17" t="s">
        <v>1</v>
      </c>
      <c r="M17">
        <v>4.6452</v>
      </c>
      <c r="N17">
        <v>-74.1417</v>
      </c>
      <c r="O17" t="s">
        <v>1</v>
      </c>
      <c r="P17" t="s">
        <v>1</v>
      </c>
      <c r="Q17" t="s">
        <v>262</v>
      </c>
      <c r="R17" t="s">
        <v>263</v>
      </c>
    </row>
    <row r="18" spans="1:18" x14ac:dyDescent="0.25">
      <c r="A18" t="s">
        <v>264</v>
      </c>
      <c r="B18" t="s">
        <v>265</v>
      </c>
      <c r="C18" t="s">
        <v>34</v>
      </c>
      <c r="D18" t="s">
        <v>239</v>
      </c>
      <c r="E18" t="s">
        <v>111</v>
      </c>
      <c r="F18" t="s">
        <v>266</v>
      </c>
      <c r="G18" t="s">
        <v>267</v>
      </c>
      <c r="H18" t="s">
        <v>268</v>
      </c>
      <c r="I18" t="s">
        <v>269</v>
      </c>
      <c r="J18" t="s">
        <v>195</v>
      </c>
      <c r="K18" t="s">
        <v>270</v>
      </c>
      <c r="L18" t="s">
        <v>1</v>
      </c>
      <c r="M18">
        <v>4.6228</v>
      </c>
      <c r="N18">
        <v>-74.1284</v>
      </c>
      <c r="O18" t="s">
        <v>1</v>
      </c>
      <c r="P18" t="s">
        <v>1</v>
      </c>
      <c r="Q18" t="s">
        <v>271</v>
      </c>
      <c r="R18" t="s">
        <v>272</v>
      </c>
    </row>
    <row r="19" spans="1:18" x14ac:dyDescent="0.25">
      <c r="A19" t="s">
        <v>273</v>
      </c>
      <c r="B19" t="s">
        <v>274</v>
      </c>
      <c r="C19" t="s">
        <v>34</v>
      </c>
      <c r="D19" t="s">
        <v>239</v>
      </c>
      <c r="E19" t="s">
        <v>111</v>
      </c>
      <c r="F19" t="s">
        <v>275</v>
      </c>
      <c r="G19" t="s">
        <v>276</v>
      </c>
      <c r="H19" t="s">
        <v>277</v>
      </c>
      <c r="I19" t="s">
        <v>278</v>
      </c>
      <c r="J19" t="s">
        <v>195</v>
      </c>
      <c r="K19" t="s">
        <v>279</v>
      </c>
      <c r="L19" t="s">
        <v>1</v>
      </c>
      <c r="M19">
        <v>4.6185</v>
      </c>
      <c r="N19">
        <v>-74.17</v>
      </c>
      <c r="O19" t="s">
        <v>1</v>
      </c>
      <c r="P19" t="s">
        <v>1</v>
      </c>
      <c r="Q19" t="s">
        <v>280</v>
      </c>
      <c r="R19" t="s">
        <v>281</v>
      </c>
    </row>
    <row r="20" spans="1:18" x14ac:dyDescent="0.25">
      <c r="A20" t="s">
        <v>282</v>
      </c>
      <c r="B20" t="s">
        <v>283</v>
      </c>
      <c r="C20" t="s">
        <v>34</v>
      </c>
      <c r="D20" t="s">
        <v>239</v>
      </c>
      <c r="E20" t="s">
        <v>111</v>
      </c>
      <c r="F20" t="s">
        <v>284</v>
      </c>
      <c r="G20" t="s">
        <v>285</v>
      </c>
      <c r="H20" t="s">
        <v>286</v>
      </c>
      <c r="I20" t="s">
        <v>287</v>
      </c>
      <c r="J20" t="s">
        <v>195</v>
      </c>
      <c r="K20" t="s">
        <v>288</v>
      </c>
      <c r="L20" t="s">
        <v>1</v>
      </c>
      <c r="M20">
        <v>4.62</v>
      </c>
      <c r="N20">
        <v>-74.15</v>
      </c>
      <c r="O20" t="s">
        <v>1</v>
      </c>
      <c r="P20" t="s">
        <v>1</v>
      </c>
      <c r="Q20" t="s">
        <v>289</v>
      </c>
      <c r="R20" t="s">
        <v>290</v>
      </c>
    </row>
    <row r="21" spans="1:18" x14ac:dyDescent="0.25">
      <c r="A21" t="s">
        <v>291</v>
      </c>
      <c r="B21" t="s">
        <v>292</v>
      </c>
      <c r="C21" t="s">
        <v>34</v>
      </c>
      <c r="D21" t="s">
        <v>239</v>
      </c>
      <c r="E21" t="s">
        <v>293</v>
      </c>
      <c r="F21" t="s">
        <v>294</v>
      </c>
      <c r="G21" t="s">
        <v>295</v>
      </c>
      <c r="H21" t="s">
        <v>296</v>
      </c>
      <c r="I21" t="s">
        <v>297</v>
      </c>
      <c r="J21" t="s">
        <v>195</v>
      </c>
      <c r="K21" t="s">
        <v>298</v>
      </c>
      <c r="L21" t="s">
        <v>1</v>
      </c>
      <c r="M21">
        <v>4.6298</v>
      </c>
      <c r="N21">
        <v>-74.16</v>
      </c>
      <c r="O21" t="s">
        <v>1</v>
      </c>
      <c r="P21" t="s">
        <v>1</v>
      </c>
      <c r="Q21" t="s">
        <v>299</v>
      </c>
      <c r="R21" t="s">
        <v>300</v>
      </c>
    </row>
    <row r="22" spans="1:18" x14ac:dyDescent="0.25">
      <c r="A22" t="s">
        <v>301</v>
      </c>
      <c r="B22" t="s">
        <v>302</v>
      </c>
      <c r="C22" t="s">
        <v>16</v>
      </c>
      <c r="D22" t="s">
        <v>122</v>
      </c>
      <c r="E22" t="s">
        <v>111</v>
      </c>
      <c r="F22" t="s">
        <v>303</v>
      </c>
      <c r="G22" t="s">
        <v>304</v>
      </c>
      <c r="H22" t="s">
        <v>305</v>
      </c>
      <c r="I22" t="s">
        <v>306</v>
      </c>
      <c r="J22" t="s">
        <v>116</v>
      </c>
      <c r="K22" t="s">
        <v>307</v>
      </c>
      <c r="L22" t="s">
        <v>1</v>
      </c>
      <c r="M22">
        <v>4.6192</v>
      </c>
      <c r="N22">
        <v>-74.1577</v>
      </c>
      <c r="O22" t="s">
        <v>1</v>
      </c>
      <c r="P22" t="s">
        <v>1</v>
      </c>
      <c r="Q22" t="s">
        <v>308</v>
      </c>
      <c r="R22" t="s">
        <v>309</v>
      </c>
    </row>
    <row r="23" spans="1:18" x14ac:dyDescent="0.25">
      <c r="A23" t="s">
        <v>310</v>
      </c>
      <c r="B23" t="s">
        <v>311</v>
      </c>
      <c r="C23" t="s">
        <v>16</v>
      </c>
      <c r="D23" t="s">
        <v>122</v>
      </c>
      <c r="E23" t="s">
        <v>111</v>
      </c>
      <c r="F23" t="s">
        <v>312</v>
      </c>
      <c r="G23" t="s">
        <v>313</v>
      </c>
      <c r="H23" t="s">
        <v>314</v>
      </c>
      <c r="I23" t="s">
        <v>315</v>
      </c>
      <c r="J23" t="s">
        <v>116</v>
      </c>
      <c r="K23" t="s">
        <v>316</v>
      </c>
      <c r="L23" t="s">
        <v>1</v>
      </c>
      <c r="M23">
        <v>4.6191</v>
      </c>
      <c r="N23">
        <v>-74.1352</v>
      </c>
      <c r="O23" t="s">
        <v>1</v>
      </c>
      <c r="P23" t="s">
        <v>1</v>
      </c>
      <c r="Q23" t="s">
        <v>317</v>
      </c>
      <c r="R23" t="s">
        <v>318</v>
      </c>
    </row>
    <row r="24" spans="1:18" x14ac:dyDescent="0.25">
      <c r="A24" t="s">
        <v>319</v>
      </c>
      <c r="B24" t="s">
        <v>320</v>
      </c>
      <c r="C24" t="s">
        <v>16</v>
      </c>
      <c r="D24" t="s">
        <v>321</v>
      </c>
      <c r="E24" t="s">
        <v>111</v>
      </c>
      <c r="F24" t="s">
        <v>322</v>
      </c>
      <c r="G24" t="s">
        <v>323</v>
      </c>
      <c r="H24" t="s">
        <v>324</v>
      </c>
      <c r="I24" t="s">
        <v>325</v>
      </c>
      <c r="J24" t="s">
        <v>146</v>
      </c>
      <c r="K24" t="s">
        <v>326</v>
      </c>
      <c r="L24" t="s">
        <v>1</v>
      </c>
      <c r="M24">
        <v>4.6196</v>
      </c>
      <c r="N24">
        <v>-74.1572</v>
      </c>
      <c r="O24" t="s">
        <v>1</v>
      </c>
      <c r="P24" t="s">
        <v>1</v>
      </c>
      <c r="Q24" t="s">
        <v>327</v>
      </c>
      <c r="R24" t="s">
        <v>19</v>
      </c>
    </row>
    <row r="25" spans="1:18" x14ac:dyDescent="0.25">
      <c r="A25" t="s">
        <v>328</v>
      </c>
      <c r="B25" t="s">
        <v>329</v>
      </c>
      <c r="C25" t="s">
        <v>16</v>
      </c>
      <c r="D25" t="s">
        <v>122</v>
      </c>
      <c r="E25" t="s">
        <v>111</v>
      </c>
      <c r="F25" t="s">
        <v>330</v>
      </c>
      <c r="G25" t="s">
        <v>331</v>
      </c>
      <c r="H25" t="s">
        <v>332</v>
      </c>
      <c r="I25" t="s">
        <v>333</v>
      </c>
      <c r="J25" t="s">
        <v>116</v>
      </c>
      <c r="K25" t="s">
        <v>334</v>
      </c>
      <c r="L25" t="s">
        <v>1</v>
      </c>
      <c r="M25">
        <v>4.6195</v>
      </c>
      <c r="N25">
        <v>-74.1604</v>
      </c>
      <c r="O25" t="s">
        <v>1</v>
      </c>
      <c r="P25" t="s">
        <v>1</v>
      </c>
      <c r="Q25" t="s">
        <v>335</v>
      </c>
      <c r="R25" t="s">
        <v>336</v>
      </c>
    </row>
    <row r="26" spans="1:18" x14ac:dyDescent="0.25">
      <c r="A26" t="s">
        <v>337</v>
      </c>
      <c r="B26" t="s">
        <v>338</v>
      </c>
      <c r="C26" t="s">
        <v>16</v>
      </c>
      <c r="D26" t="s">
        <v>122</v>
      </c>
      <c r="E26" t="s">
        <v>111</v>
      </c>
      <c r="F26" t="s">
        <v>339</v>
      </c>
      <c r="G26" t="s">
        <v>340</v>
      </c>
      <c r="H26" t="s">
        <v>341</v>
      </c>
      <c r="I26" t="s">
        <v>342</v>
      </c>
      <c r="J26" t="s">
        <v>116</v>
      </c>
      <c r="K26" t="s">
        <v>343</v>
      </c>
      <c r="L26" t="s">
        <v>1</v>
      </c>
      <c r="M26">
        <v>4.6198</v>
      </c>
      <c r="N26">
        <v>-74.1608</v>
      </c>
      <c r="O26" t="s">
        <v>1</v>
      </c>
      <c r="P26" t="s">
        <v>1</v>
      </c>
      <c r="Q26" t="s">
        <v>344</v>
      </c>
      <c r="R26" t="s">
        <v>345</v>
      </c>
    </row>
    <row r="27" spans="1:18" x14ac:dyDescent="0.25">
      <c r="A27" t="s">
        <v>346</v>
      </c>
      <c r="B27" t="s">
        <v>347</v>
      </c>
      <c r="C27" t="s">
        <v>16</v>
      </c>
      <c r="D27" t="s">
        <v>122</v>
      </c>
      <c r="E27" t="s">
        <v>111</v>
      </c>
      <c r="F27" t="s">
        <v>348</v>
      </c>
      <c r="G27" t="s">
        <v>349</v>
      </c>
      <c r="H27" t="s">
        <v>350</v>
      </c>
      <c r="I27" t="s">
        <v>351</v>
      </c>
      <c r="J27" t="s">
        <v>116</v>
      </c>
      <c r="K27" t="s">
        <v>352</v>
      </c>
      <c r="L27" t="s">
        <v>1</v>
      </c>
      <c r="M27">
        <v>4.6385</v>
      </c>
      <c r="N27">
        <v>-74.1665</v>
      </c>
      <c r="O27" t="s">
        <v>1</v>
      </c>
      <c r="P27" t="s">
        <v>1</v>
      </c>
      <c r="Q27" t="s">
        <v>353</v>
      </c>
      <c r="R27" t="s">
        <v>354</v>
      </c>
    </row>
    <row r="28" spans="1:18" x14ac:dyDescent="0.25">
      <c r="A28" t="s">
        <v>355</v>
      </c>
      <c r="B28" t="s">
        <v>356</v>
      </c>
      <c r="C28" t="s">
        <v>16</v>
      </c>
      <c r="D28" t="s">
        <v>122</v>
      </c>
      <c r="E28" t="s">
        <v>111</v>
      </c>
      <c r="F28" t="s">
        <v>357</v>
      </c>
      <c r="G28" t="s">
        <v>358</v>
      </c>
      <c r="H28" t="s">
        <v>359</v>
      </c>
      <c r="I28" t="s">
        <v>360</v>
      </c>
      <c r="J28" t="s">
        <v>116</v>
      </c>
      <c r="K28" t="s">
        <v>361</v>
      </c>
      <c r="L28" t="s">
        <v>1</v>
      </c>
      <c r="M28">
        <v>4.6125</v>
      </c>
      <c r="N28">
        <v>-74.1565</v>
      </c>
      <c r="O28" t="s">
        <v>1</v>
      </c>
      <c r="P28" t="s">
        <v>1</v>
      </c>
      <c r="Q28" t="s">
        <v>362</v>
      </c>
      <c r="R28" t="s">
        <v>363</v>
      </c>
    </row>
    <row r="29" spans="1:18" x14ac:dyDescent="0.25">
      <c r="A29" t="s">
        <v>364</v>
      </c>
      <c r="B29" t="s">
        <v>365</v>
      </c>
      <c r="C29" t="s">
        <v>16</v>
      </c>
      <c r="D29" t="s">
        <v>122</v>
      </c>
      <c r="E29" t="s">
        <v>111</v>
      </c>
      <c r="F29" t="s">
        <v>366</v>
      </c>
      <c r="G29" t="s">
        <v>367</v>
      </c>
      <c r="H29" t="s">
        <v>368</v>
      </c>
      <c r="I29" t="s">
        <v>351</v>
      </c>
      <c r="J29" t="s">
        <v>116</v>
      </c>
      <c r="K29" t="s">
        <v>369</v>
      </c>
      <c r="L29" t="s">
        <v>1</v>
      </c>
      <c r="M29">
        <v>4.6118</v>
      </c>
      <c r="N29">
        <v>-74.1555</v>
      </c>
      <c r="O29" t="s">
        <v>1</v>
      </c>
      <c r="P29" t="s">
        <v>1</v>
      </c>
      <c r="Q29" t="s">
        <v>370</v>
      </c>
      <c r="R29" t="s">
        <v>371</v>
      </c>
    </row>
    <row r="30" spans="1:18" x14ac:dyDescent="0.25">
      <c r="A30" t="s">
        <v>372</v>
      </c>
      <c r="B30" t="s">
        <v>373</v>
      </c>
      <c r="C30" t="s">
        <v>16</v>
      </c>
      <c r="D30" t="s">
        <v>122</v>
      </c>
      <c r="E30" t="s">
        <v>374</v>
      </c>
      <c r="F30" t="s">
        <v>375</v>
      </c>
      <c r="G30" t="s">
        <v>376</v>
      </c>
      <c r="H30" t="s">
        <v>377</v>
      </c>
      <c r="I30" t="s">
        <v>378</v>
      </c>
      <c r="J30" t="s">
        <v>116</v>
      </c>
      <c r="K30" t="s">
        <v>379</v>
      </c>
      <c r="L30" t="s">
        <v>1</v>
      </c>
      <c r="M30">
        <v>4.641</v>
      </c>
      <c r="N30">
        <v>-74.1655</v>
      </c>
      <c r="O30" t="s">
        <v>1</v>
      </c>
      <c r="P30" t="s">
        <v>1</v>
      </c>
      <c r="Q30" t="s">
        <v>380</v>
      </c>
      <c r="R30" t="s">
        <v>381</v>
      </c>
    </row>
    <row r="31" spans="1:18" x14ac:dyDescent="0.25">
      <c r="A31" t="s">
        <v>382</v>
      </c>
      <c r="B31" t="s">
        <v>383</v>
      </c>
      <c r="C31" t="s">
        <v>34</v>
      </c>
      <c r="D31" t="s">
        <v>239</v>
      </c>
      <c r="E31" t="s">
        <v>111</v>
      </c>
      <c r="F31" t="s">
        <v>384</v>
      </c>
      <c r="G31" t="s">
        <v>385</v>
      </c>
      <c r="H31" t="s">
        <v>386</v>
      </c>
      <c r="I31" t="s">
        <v>387</v>
      </c>
      <c r="J31" t="s">
        <v>195</v>
      </c>
      <c r="K31" t="s">
        <v>388</v>
      </c>
      <c r="L31" t="s">
        <v>1</v>
      </c>
      <c r="M31">
        <v>4.6436</v>
      </c>
      <c r="N31">
        <v>-74.1533</v>
      </c>
      <c r="O31" t="s">
        <v>1</v>
      </c>
      <c r="P31" t="s">
        <v>1</v>
      </c>
      <c r="Q31" t="s">
        <v>389</v>
      </c>
      <c r="R31" t="s">
        <v>390</v>
      </c>
    </row>
    <row r="32" spans="1:18" x14ac:dyDescent="0.25">
      <c r="A32" t="s">
        <v>391</v>
      </c>
      <c r="B32" t="s">
        <v>392</v>
      </c>
      <c r="C32" t="s">
        <v>22</v>
      </c>
      <c r="D32" t="s">
        <v>141</v>
      </c>
      <c r="E32" t="s">
        <v>111</v>
      </c>
      <c r="F32" t="s">
        <v>393</v>
      </c>
      <c r="G32" t="s">
        <v>394</v>
      </c>
      <c r="H32" t="s">
        <v>395</v>
      </c>
      <c r="I32" t="s">
        <v>396</v>
      </c>
      <c r="J32" t="s">
        <v>146</v>
      </c>
      <c r="K32" t="s">
        <v>397</v>
      </c>
      <c r="L32" t="s">
        <v>1</v>
      </c>
      <c r="M32">
        <v>4.6446</v>
      </c>
      <c r="N32">
        <v>-74.1548</v>
      </c>
      <c r="O32" t="s">
        <v>1</v>
      </c>
      <c r="P32" t="s">
        <v>1</v>
      </c>
      <c r="Q32" t="s">
        <v>398</v>
      </c>
      <c r="R32" t="s">
        <v>399</v>
      </c>
    </row>
    <row r="33" spans="1:18" x14ac:dyDescent="0.25">
      <c r="A33" t="s">
        <v>400</v>
      </c>
      <c r="B33" t="s">
        <v>401</v>
      </c>
      <c r="C33" t="s">
        <v>22</v>
      </c>
      <c r="D33" t="s">
        <v>141</v>
      </c>
      <c r="E33" t="s">
        <v>111</v>
      </c>
      <c r="F33" t="s">
        <v>402</v>
      </c>
      <c r="G33" t="s">
        <v>403</v>
      </c>
      <c r="H33" t="s">
        <v>404</v>
      </c>
      <c r="I33" t="s">
        <v>405</v>
      </c>
      <c r="J33" t="s">
        <v>146</v>
      </c>
      <c r="K33" t="s">
        <v>406</v>
      </c>
      <c r="L33" t="s">
        <v>1</v>
      </c>
      <c r="M33">
        <v>4.6432</v>
      </c>
      <c r="N33">
        <v>-74.1555</v>
      </c>
      <c r="O33" t="s">
        <v>1</v>
      </c>
      <c r="P33" t="s">
        <v>1</v>
      </c>
      <c r="Q33" t="s">
        <v>407</v>
      </c>
      <c r="R33" t="s">
        <v>408</v>
      </c>
    </row>
    <row r="34" spans="1:18" x14ac:dyDescent="0.25">
      <c r="A34" t="s">
        <v>409</v>
      </c>
      <c r="B34" t="s">
        <v>410</v>
      </c>
      <c r="C34" t="s">
        <v>22</v>
      </c>
      <c r="D34" t="s">
        <v>141</v>
      </c>
      <c r="E34" t="s">
        <v>111</v>
      </c>
      <c r="F34" t="s">
        <v>411</v>
      </c>
      <c r="G34" t="s">
        <v>412</v>
      </c>
      <c r="H34" t="s">
        <v>413</v>
      </c>
      <c r="I34" t="s">
        <v>414</v>
      </c>
      <c r="J34" t="s">
        <v>146</v>
      </c>
      <c r="K34" t="s">
        <v>406</v>
      </c>
      <c r="L34" t="s">
        <v>1</v>
      </c>
      <c r="M34">
        <v>4.6455</v>
      </c>
      <c r="N34">
        <v>-74.153</v>
      </c>
      <c r="O34" t="s">
        <v>1</v>
      </c>
      <c r="P34" t="s">
        <v>1</v>
      </c>
      <c r="Q34" t="s">
        <v>415</v>
      </c>
      <c r="R34" t="s">
        <v>416</v>
      </c>
    </row>
    <row r="35" spans="1:18" x14ac:dyDescent="0.25">
      <c r="A35" t="s">
        <v>417</v>
      </c>
      <c r="B35" t="s">
        <v>418</v>
      </c>
      <c r="C35" t="s">
        <v>22</v>
      </c>
      <c r="D35" t="s">
        <v>170</v>
      </c>
      <c r="E35" t="s">
        <v>111</v>
      </c>
      <c r="F35" t="s">
        <v>419</v>
      </c>
      <c r="G35" t="s">
        <v>420</v>
      </c>
      <c r="H35" t="s">
        <v>421</v>
      </c>
      <c r="I35" t="s">
        <v>422</v>
      </c>
      <c r="J35" t="s">
        <v>146</v>
      </c>
      <c r="K35" t="s">
        <v>361</v>
      </c>
      <c r="L35" t="s">
        <v>1</v>
      </c>
      <c r="M35">
        <v>4.644</v>
      </c>
      <c r="N35">
        <v>-74.151</v>
      </c>
      <c r="O35" t="s">
        <v>1</v>
      </c>
      <c r="P35" t="s">
        <v>1</v>
      </c>
      <c r="Q35" t="s">
        <v>423</v>
      </c>
      <c r="R35" t="s">
        <v>424</v>
      </c>
    </row>
    <row r="36" spans="1:18" x14ac:dyDescent="0.25">
      <c r="A36" t="s">
        <v>425</v>
      </c>
      <c r="B36" t="s">
        <v>426</v>
      </c>
      <c r="C36" t="s">
        <v>22</v>
      </c>
      <c r="D36" t="s">
        <v>141</v>
      </c>
      <c r="E36" t="s">
        <v>111</v>
      </c>
      <c r="F36" t="s">
        <v>427</v>
      </c>
      <c r="G36" t="s">
        <v>428</v>
      </c>
      <c r="H36" t="s">
        <v>429</v>
      </c>
      <c r="I36" t="s">
        <v>430</v>
      </c>
      <c r="J36" t="s">
        <v>146</v>
      </c>
      <c r="K36" t="s">
        <v>431</v>
      </c>
      <c r="L36" t="s">
        <v>1</v>
      </c>
      <c r="M36">
        <v>4.6396</v>
      </c>
      <c r="N36">
        <v>-74.165</v>
      </c>
      <c r="O36" t="s">
        <v>1</v>
      </c>
      <c r="P36" t="s">
        <v>1</v>
      </c>
      <c r="Q36" t="s">
        <v>432</v>
      </c>
      <c r="R36" t="s">
        <v>433</v>
      </c>
    </row>
    <row r="37" spans="1:18" x14ac:dyDescent="0.25">
      <c r="A37" t="s">
        <v>434</v>
      </c>
      <c r="B37" t="s">
        <v>435</v>
      </c>
      <c r="C37" t="s">
        <v>22</v>
      </c>
      <c r="D37" t="s">
        <v>141</v>
      </c>
      <c r="E37" t="s">
        <v>111</v>
      </c>
      <c r="F37" t="s">
        <v>436</v>
      </c>
      <c r="G37" t="s">
        <v>437</v>
      </c>
      <c r="H37" t="s">
        <v>438</v>
      </c>
      <c r="I37" t="s">
        <v>439</v>
      </c>
      <c r="J37" t="s">
        <v>146</v>
      </c>
      <c r="K37" t="s">
        <v>440</v>
      </c>
      <c r="L37" t="s">
        <v>1</v>
      </c>
      <c r="M37">
        <v>4.6429</v>
      </c>
      <c r="N37">
        <v>-74.1568</v>
      </c>
      <c r="O37" t="s">
        <v>1</v>
      </c>
      <c r="P37" t="s">
        <v>1</v>
      </c>
      <c r="Q37" t="s">
        <v>441</v>
      </c>
      <c r="R37" t="s">
        <v>90</v>
      </c>
    </row>
    <row r="38" spans="1:18" x14ac:dyDescent="0.25">
      <c r="A38" t="s">
        <v>442</v>
      </c>
      <c r="B38" t="s">
        <v>443</v>
      </c>
      <c r="C38" t="s">
        <v>34</v>
      </c>
      <c r="D38" t="s">
        <v>180</v>
      </c>
      <c r="E38" t="s">
        <v>111</v>
      </c>
      <c r="F38" t="s">
        <v>444</v>
      </c>
      <c r="G38" t="s">
        <v>445</v>
      </c>
      <c r="H38" t="s">
        <v>446</v>
      </c>
      <c r="I38" t="s">
        <v>447</v>
      </c>
      <c r="J38" t="s">
        <v>116</v>
      </c>
      <c r="K38" t="s">
        <v>448</v>
      </c>
      <c r="L38" t="s">
        <v>1</v>
      </c>
      <c r="M38">
        <v>4.634</v>
      </c>
      <c r="N38">
        <v>-74.1632</v>
      </c>
      <c r="O38" t="s">
        <v>1</v>
      </c>
      <c r="P38" t="s">
        <v>1</v>
      </c>
      <c r="Q38" t="s">
        <v>449</v>
      </c>
      <c r="R38" t="s">
        <v>450</v>
      </c>
    </row>
    <row r="39" spans="1:18" x14ac:dyDescent="0.25">
      <c r="A39" t="s">
        <v>451</v>
      </c>
      <c r="B39" t="s">
        <v>452</v>
      </c>
      <c r="C39" t="s">
        <v>28</v>
      </c>
      <c r="D39" t="s">
        <v>190</v>
      </c>
      <c r="E39" t="s">
        <v>111</v>
      </c>
      <c r="F39" t="s">
        <v>453</v>
      </c>
      <c r="G39" t="s">
        <v>454</v>
      </c>
      <c r="H39" t="s">
        <v>455</v>
      </c>
      <c r="I39" t="s">
        <v>456</v>
      </c>
      <c r="J39" t="s">
        <v>195</v>
      </c>
      <c r="K39" t="s">
        <v>457</v>
      </c>
      <c r="L39" t="s">
        <v>1</v>
      </c>
      <c r="M39">
        <v>4.6318</v>
      </c>
      <c r="N39">
        <v>-74.1568</v>
      </c>
      <c r="O39" t="s">
        <v>1</v>
      </c>
      <c r="P39" t="s">
        <v>1</v>
      </c>
      <c r="Q39" t="s">
        <v>458</v>
      </c>
      <c r="R39" t="s">
        <v>459</v>
      </c>
    </row>
    <row r="40" spans="1:18" x14ac:dyDescent="0.25">
      <c r="A40" t="s">
        <v>460</v>
      </c>
      <c r="B40" t="s">
        <v>461</v>
      </c>
      <c r="C40" t="s">
        <v>28</v>
      </c>
      <c r="D40" t="s">
        <v>190</v>
      </c>
      <c r="E40" t="s">
        <v>111</v>
      </c>
      <c r="F40" t="s">
        <v>462</v>
      </c>
      <c r="G40" t="s">
        <v>463</v>
      </c>
      <c r="H40" t="s">
        <v>464</v>
      </c>
      <c r="I40" t="s">
        <v>465</v>
      </c>
      <c r="J40" t="s">
        <v>195</v>
      </c>
      <c r="K40" t="s">
        <v>466</v>
      </c>
      <c r="L40" t="s">
        <v>1</v>
      </c>
      <c r="M40">
        <v>4.634</v>
      </c>
      <c r="N40">
        <v>-74.154</v>
      </c>
      <c r="O40" t="s">
        <v>1</v>
      </c>
      <c r="P40" t="s">
        <v>1</v>
      </c>
      <c r="Q40" t="s">
        <v>467</v>
      </c>
      <c r="R40" t="s">
        <v>468</v>
      </c>
    </row>
    <row r="41" spans="1:18" x14ac:dyDescent="0.25">
      <c r="A41" t="s">
        <v>469</v>
      </c>
      <c r="B41" t="s">
        <v>470</v>
      </c>
      <c r="C41" t="s">
        <v>28</v>
      </c>
      <c r="D41" t="s">
        <v>190</v>
      </c>
      <c r="E41" t="s">
        <v>111</v>
      </c>
      <c r="F41" t="s">
        <v>471</v>
      </c>
      <c r="G41" t="s">
        <v>472</v>
      </c>
      <c r="H41" t="s">
        <v>473</v>
      </c>
      <c r="I41" t="s">
        <v>474</v>
      </c>
      <c r="J41" t="s">
        <v>195</v>
      </c>
      <c r="K41" t="s">
        <v>475</v>
      </c>
      <c r="L41" t="s">
        <v>1</v>
      </c>
      <c r="M41">
        <v>4.629</v>
      </c>
      <c r="N41">
        <v>-74.1718</v>
      </c>
      <c r="O41" t="s">
        <v>1</v>
      </c>
      <c r="P41" t="s">
        <v>1</v>
      </c>
      <c r="Q41" t="s">
        <v>476</v>
      </c>
      <c r="R41" t="s">
        <v>75</v>
      </c>
    </row>
    <row r="42" spans="1:18" x14ac:dyDescent="0.25">
      <c r="A42" t="s">
        <v>477</v>
      </c>
      <c r="B42" t="s">
        <v>478</v>
      </c>
      <c r="C42" t="s">
        <v>28</v>
      </c>
      <c r="D42" t="s">
        <v>190</v>
      </c>
      <c r="E42" t="s">
        <v>111</v>
      </c>
      <c r="F42" t="s">
        <v>479</v>
      </c>
      <c r="G42" t="s">
        <v>480</v>
      </c>
      <c r="H42" t="s">
        <v>481</v>
      </c>
      <c r="I42" t="s">
        <v>482</v>
      </c>
      <c r="J42" t="s">
        <v>195</v>
      </c>
      <c r="K42" t="s">
        <v>483</v>
      </c>
      <c r="L42" t="s">
        <v>1</v>
      </c>
      <c r="M42">
        <v>4.6313</v>
      </c>
      <c r="N42">
        <v>-74.1443</v>
      </c>
      <c r="O42" t="s">
        <v>1</v>
      </c>
      <c r="P42" t="s">
        <v>1</v>
      </c>
      <c r="Q42" t="s">
        <v>484</v>
      </c>
      <c r="R42" t="s">
        <v>485</v>
      </c>
    </row>
    <row r="43" spans="1:18" x14ac:dyDescent="0.25">
      <c r="A43" t="s">
        <v>486</v>
      </c>
      <c r="B43" t="s">
        <v>487</v>
      </c>
      <c r="C43" t="s">
        <v>28</v>
      </c>
      <c r="D43" t="s">
        <v>190</v>
      </c>
      <c r="E43" t="s">
        <v>111</v>
      </c>
      <c r="F43" t="s">
        <v>488</v>
      </c>
      <c r="G43" t="s">
        <v>489</v>
      </c>
      <c r="H43" t="s">
        <v>490</v>
      </c>
      <c r="I43" t="s">
        <v>491</v>
      </c>
      <c r="J43" t="s">
        <v>195</v>
      </c>
      <c r="K43" t="s">
        <v>492</v>
      </c>
      <c r="L43" t="s">
        <v>1</v>
      </c>
      <c r="M43">
        <v>4.6398</v>
      </c>
      <c r="N43">
        <v>-74.1684</v>
      </c>
      <c r="O43" t="s">
        <v>1</v>
      </c>
      <c r="P43" t="s">
        <v>1</v>
      </c>
      <c r="Q43" t="s">
        <v>493</v>
      </c>
      <c r="R43" t="s">
        <v>494</v>
      </c>
    </row>
    <row r="44" spans="1:18" x14ac:dyDescent="0.25">
      <c r="A44" t="s">
        <v>495</v>
      </c>
      <c r="B44" t="s">
        <v>496</v>
      </c>
      <c r="C44" t="s">
        <v>28</v>
      </c>
      <c r="D44" t="s">
        <v>110</v>
      </c>
      <c r="E44" t="s">
        <v>111</v>
      </c>
      <c r="F44" t="s">
        <v>497</v>
      </c>
      <c r="G44" t="s">
        <v>498</v>
      </c>
      <c r="H44" t="s">
        <v>499</v>
      </c>
      <c r="I44" t="s">
        <v>500</v>
      </c>
      <c r="J44" t="s">
        <v>116</v>
      </c>
      <c r="K44" t="s">
        <v>501</v>
      </c>
      <c r="L44" t="s">
        <v>1</v>
      </c>
      <c r="M44">
        <v>4.6288</v>
      </c>
      <c r="N44">
        <v>-74.1695</v>
      </c>
      <c r="O44" t="s">
        <v>1</v>
      </c>
      <c r="P44" t="s">
        <v>1</v>
      </c>
      <c r="Q44" t="s">
        <v>502</v>
      </c>
      <c r="R44" t="s">
        <v>503</v>
      </c>
    </row>
    <row r="45" spans="1:18" x14ac:dyDescent="0.25">
      <c r="A45" t="s">
        <v>504</v>
      </c>
      <c r="B45" t="s">
        <v>505</v>
      </c>
      <c r="C45" t="s">
        <v>28</v>
      </c>
      <c r="D45" t="s">
        <v>228</v>
      </c>
      <c r="E45" t="s">
        <v>111</v>
      </c>
      <c r="F45" t="s">
        <v>506</v>
      </c>
      <c r="G45" t="s">
        <v>507</v>
      </c>
      <c r="H45" t="s">
        <v>508</v>
      </c>
      <c r="I45" t="s">
        <v>509</v>
      </c>
      <c r="J45" t="s">
        <v>195</v>
      </c>
      <c r="K45" t="s">
        <v>510</v>
      </c>
      <c r="L45" t="s">
        <v>1</v>
      </c>
      <c r="M45">
        <v>4.6395</v>
      </c>
      <c r="N45">
        <v>-74.166</v>
      </c>
      <c r="O45" t="s">
        <v>1</v>
      </c>
      <c r="P45" t="s">
        <v>1</v>
      </c>
      <c r="Q45" t="s">
        <v>511</v>
      </c>
      <c r="R45" t="s">
        <v>512</v>
      </c>
    </row>
    <row r="46" spans="1:18" x14ac:dyDescent="0.25">
      <c r="A46" t="s">
        <v>513</v>
      </c>
      <c r="B46" t="s">
        <v>514</v>
      </c>
      <c r="C46" t="s">
        <v>28</v>
      </c>
      <c r="D46" t="s">
        <v>228</v>
      </c>
      <c r="E46" t="s">
        <v>111</v>
      </c>
      <c r="F46" t="s">
        <v>515</v>
      </c>
      <c r="G46" t="s">
        <v>516</v>
      </c>
      <c r="H46" t="s">
        <v>517</v>
      </c>
      <c r="I46" t="s">
        <v>518</v>
      </c>
      <c r="J46" t="s">
        <v>116</v>
      </c>
      <c r="K46" t="s">
        <v>519</v>
      </c>
      <c r="L46" t="s">
        <v>1</v>
      </c>
      <c r="M46">
        <v>4.633</v>
      </c>
      <c r="N46">
        <v>-74.171</v>
      </c>
      <c r="O46" t="s">
        <v>1</v>
      </c>
      <c r="P46" t="s">
        <v>1</v>
      </c>
      <c r="Q46" t="s">
        <v>520</v>
      </c>
      <c r="R46" t="s">
        <v>521</v>
      </c>
    </row>
    <row r="47" spans="1:18" x14ac:dyDescent="0.25">
      <c r="A47" t="s">
        <v>522</v>
      </c>
      <c r="B47" t="s">
        <v>523</v>
      </c>
      <c r="C47" t="s">
        <v>28</v>
      </c>
      <c r="D47" t="s">
        <v>190</v>
      </c>
      <c r="E47" t="s">
        <v>111</v>
      </c>
      <c r="F47" t="s">
        <v>524</v>
      </c>
      <c r="G47" t="s">
        <v>525</v>
      </c>
      <c r="H47" t="s">
        <v>526</v>
      </c>
      <c r="I47" t="s">
        <v>527</v>
      </c>
      <c r="J47" t="s">
        <v>195</v>
      </c>
      <c r="K47" t="s">
        <v>528</v>
      </c>
      <c r="L47" t="s">
        <v>1</v>
      </c>
      <c r="M47">
        <v>4.6205</v>
      </c>
      <c r="N47">
        <v>-74.1362</v>
      </c>
      <c r="O47" t="s">
        <v>1</v>
      </c>
      <c r="P47" t="s">
        <v>1</v>
      </c>
      <c r="Q47" t="s">
        <v>529</v>
      </c>
      <c r="R47" t="s">
        <v>530</v>
      </c>
    </row>
    <row r="48" spans="1:18" x14ac:dyDescent="0.25">
      <c r="A48" t="s">
        <v>531</v>
      </c>
      <c r="B48" t="s">
        <v>532</v>
      </c>
      <c r="C48" t="s">
        <v>28</v>
      </c>
      <c r="D48" t="s">
        <v>190</v>
      </c>
      <c r="E48" t="s">
        <v>111</v>
      </c>
      <c r="F48" t="s">
        <v>533</v>
      </c>
      <c r="G48" t="s">
        <v>534</v>
      </c>
      <c r="H48" t="s">
        <v>535</v>
      </c>
      <c r="I48" t="s">
        <v>536</v>
      </c>
      <c r="J48" t="s">
        <v>195</v>
      </c>
      <c r="K48" t="s">
        <v>537</v>
      </c>
      <c r="L48" t="s">
        <v>1</v>
      </c>
      <c r="M48">
        <v>4.6172</v>
      </c>
      <c r="N48">
        <v>-74.1522</v>
      </c>
      <c r="O48" t="s">
        <v>1</v>
      </c>
      <c r="P48" t="s">
        <v>1</v>
      </c>
      <c r="Q48" t="s">
        <v>538</v>
      </c>
      <c r="R48" t="s">
        <v>539</v>
      </c>
    </row>
    <row r="49" spans="1:18" x14ac:dyDescent="0.25">
      <c r="A49" t="s">
        <v>540</v>
      </c>
      <c r="B49" t="s">
        <v>541</v>
      </c>
      <c r="C49" t="s">
        <v>28</v>
      </c>
      <c r="D49" t="s">
        <v>228</v>
      </c>
      <c r="E49" t="s">
        <v>111</v>
      </c>
      <c r="F49" t="s">
        <v>542</v>
      </c>
      <c r="G49" t="s">
        <v>543</v>
      </c>
      <c r="H49" t="s">
        <v>544</v>
      </c>
      <c r="I49" t="s">
        <v>545</v>
      </c>
      <c r="J49" t="s">
        <v>116</v>
      </c>
      <c r="K49" t="s">
        <v>546</v>
      </c>
      <c r="L49" t="s">
        <v>1</v>
      </c>
      <c r="M49">
        <v>4.6296</v>
      </c>
      <c r="N49">
        <v>-74.1592</v>
      </c>
      <c r="O49" t="s">
        <v>1</v>
      </c>
      <c r="P49" t="s">
        <v>1</v>
      </c>
      <c r="Q49" t="s">
        <v>547</v>
      </c>
      <c r="R49" t="s">
        <v>548</v>
      </c>
    </row>
    <row r="50" spans="1:18" x14ac:dyDescent="0.25">
      <c r="A50" t="s">
        <v>549</v>
      </c>
      <c r="B50" t="s">
        <v>550</v>
      </c>
      <c r="C50" t="s">
        <v>28</v>
      </c>
      <c r="D50" t="s">
        <v>190</v>
      </c>
      <c r="E50" t="s">
        <v>111</v>
      </c>
      <c r="F50" t="s">
        <v>551</v>
      </c>
      <c r="G50" t="s">
        <v>552</v>
      </c>
      <c r="H50" t="s">
        <v>553</v>
      </c>
      <c r="I50" t="s">
        <v>554</v>
      </c>
      <c r="J50" t="s">
        <v>195</v>
      </c>
      <c r="K50" t="s">
        <v>555</v>
      </c>
      <c r="L50" t="s">
        <v>1</v>
      </c>
      <c r="M50">
        <v>4.6163</v>
      </c>
      <c r="N50">
        <v>-74.1534</v>
      </c>
      <c r="O50" t="s">
        <v>1</v>
      </c>
      <c r="P50" t="s">
        <v>1</v>
      </c>
      <c r="Q50" t="s">
        <v>556</v>
      </c>
      <c r="R50" t="s">
        <v>557</v>
      </c>
    </row>
    <row r="51" spans="1:18" x14ac:dyDescent="0.25">
      <c r="A51" t="s">
        <v>558</v>
      </c>
      <c r="B51" t="s">
        <v>559</v>
      </c>
      <c r="C51" t="s">
        <v>34</v>
      </c>
      <c r="D51" t="s">
        <v>239</v>
      </c>
      <c r="E51" t="s">
        <v>111</v>
      </c>
      <c r="F51" t="s">
        <v>560</v>
      </c>
      <c r="G51" t="s">
        <v>561</v>
      </c>
      <c r="H51" t="s">
        <v>562</v>
      </c>
      <c r="I51" t="s">
        <v>563</v>
      </c>
      <c r="J51" t="s">
        <v>195</v>
      </c>
      <c r="K51" t="s">
        <v>564</v>
      </c>
      <c r="L51" t="s">
        <v>1</v>
      </c>
      <c r="M51">
        <v>4.625</v>
      </c>
      <c r="N51">
        <v>-74.144</v>
      </c>
      <c r="O51" t="s">
        <v>1</v>
      </c>
      <c r="P51" t="s">
        <v>1</v>
      </c>
      <c r="Q51" t="s">
        <v>565</v>
      </c>
      <c r="R51" t="s">
        <v>566</v>
      </c>
    </row>
    <row r="52" spans="1:18" x14ac:dyDescent="0.25">
      <c r="A52" t="s">
        <v>567</v>
      </c>
      <c r="B52" t="s">
        <v>568</v>
      </c>
      <c r="C52" t="s">
        <v>34</v>
      </c>
      <c r="D52" t="s">
        <v>180</v>
      </c>
      <c r="E52" t="s">
        <v>111</v>
      </c>
      <c r="F52" t="s">
        <v>569</v>
      </c>
      <c r="G52" t="s">
        <v>570</v>
      </c>
      <c r="H52" t="s">
        <v>571</v>
      </c>
      <c r="I52" t="s">
        <v>572</v>
      </c>
      <c r="J52" t="s">
        <v>116</v>
      </c>
      <c r="K52" t="s">
        <v>573</v>
      </c>
      <c r="L52" t="s">
        <v>1</v>
      </c>
      <c r="M52">
        <v>4.621</v>
      </c>
      <c r="N52">
        <v>-74.144</v>
      </c>
      <c r="O52" t="s">
        <v>1</v>
      </c>
      <c r="P52" t="s">
        <v>1</v>
      </c>
      <c r="Q52" t="s">
        <v>574</v>
      </c>
      <c r="R52" t="s">
        <v>575</v>
      </c>
    </row>
    <row r="53" spans="1:18" x14ac:dyDescent="0.25">
      <c r="A53" t="s">
        <v>576</v>
      </c>
      <c r="B53" t="s">
        <v>577</v>
      </c>
      <c r="C53" t="s">
        <v>34</v>
      </c>
      <c r="D53" t="s">
        <v>239</v>
      </c>
      <c r="E53" t="s">
        <v>111</v>
      </c>
      <c r="F53" t="s">
        <v>578</v>
      </c>
      <c r="G53" t="s">
        <v>579</v>
      </c>
      <c r="H53" t="s">
        <v>580</v>
      </c>
      <c r="I53" t="s">
        <v>581</v>
      </c>
      <c r="J53" t="s">
        <v>195</v>
      </c>
      <c r="K53" t="s">
        <v>582</v>
      </c>
      <c r="L53" t="s">
        <v>1</v>
      </c>
      <c r="M53">
        <v>4.63</v>
      </c>
      <c r="N53">
        <v>-74.133</v>
      </c>
      <c r="O53" t="s">
        <v>1</v>
      </c>
      <c r="P53" t="s">
        <v>1</v>
      </c>
      <c r="Q53" t="s">
        <v>583</v>
      </c>
      <c r="R53" t="s">
        <v>70</v>
      </c>
    </row>
    <row r="54" spans="1:18" x14ac:dyDescent="0.25">
      <c r="A54" t="s">
        <v>584</v>
      </c>
      <c r="B54" t="s">
        <v>585</v>
      </c>
      <c r="C54" t="s">
        <v>34</v>
      </c>
      <c r="D54" t="s">
        <v>239</v>
      </c>
      <c r="E54" t="s">
        <v>111</v>
      </c>
      <c r="F54" t="s">
        <v>586</v>
      </c>
      <c r="G54" t="s">
        <v>587</v>
      </c>
      <c r="H54" t="s">
        <v>588</v>
      </c>
      <c r="I54" t="s">
        <v>589</v>
      </c>
      <c r="J54" t="s">
        <v>195</v>
      </c>
      <c r="K54" t="s">
        <v>590</v>
      </c>
      <c r="L54" t="s">
        <v>1</v>
      </c>
      <c r="M54">
        <v>4.6125</v>
      </c>
      <c r="N54">
        <v>-74.16</v>
      </c>
      <c r="O54" t="s">
        <v>1</v>
      </c>
      <c r="P54" t="s">
        <v>1</v>
      </c>
      <c r="Q54" t="s">
        <v>591</v>
      </c>
      <c r="R54" t="s">
        <v>592</v>
      </c>
    </row>
    <row r="55" spans="1:18" x14ac:dyDescent="0.25">
      <c r="A55" t="s">
        <v>593</v>
      </c>
      <c r="B55" t="s">
        <v>594</v>
      </c>
      <c r="C55" t="s">
        <v>34</v>
      </c>
      <c r="D55" t="s">
        <v>239</v>
      </c>
      <c r="E55" t="s">
        <v>111</v>
      </c>
      <c r="F55" t="s">
        <v>595</v>
      </c>
      <c r="G55" t="s">
        <v>596</v>
      </c>
      <c r="H55" t="s">
        <v>597</v>
      </c>
      <c r="I55" t="s">
        <v>598</v>
      </c>
      <c r="J55" t="s">
        <v>195</v>
      </c>
      <c r="K55" t="s">
        <v>599</v>
      </c>
      <c r="L55" t="s">
        <v>1</v>
      </c>
      <c r="M55">
        <v>4.624</v>
      </c>
      <c r="N55">
        <v>-74.1595</v>
      </c>
      <c r="O55" t="s">
        <v>1</v>
      </c>
      <c r="P55" t="s">
        <v>1</v>
      </c>
      <c r="Q55" t="s">
        <v>600</v>
      </c>
      <c r="R55" t="s">
        <v>601</v>
      </c>
    </row>
    <row r="56" spans="1:18" x14ac:dyDescent="0.25">
      <c r="A56" t="s">
        <v>602</v>
      </c>
      <c r="B56" t="s">
        <v>603</v>
      </c>
      <c r="C56" t="s">
        <v>34</v>
      </c>
      <c r="D56" t="s">
        <v>239</v>
      </c>
      <c r="E56" t="s">
        <v>111</v>
      </c>
      <c r="F56" t="s">
        <v>604</v>
      </c>
      <c r="G56" t="s">
        <v>605</v>
      </c>
      <c r="H56" t="s">
        <v>606</v>
      </c>
      <c r="I56" t="s">
        <v>607</v>
      </c>
      <c r="J56" t="s">
        <v>195</v>
      </c>
      <c r="K56" t="s">
        <v>608</v>
      </c>
      <c r="L56" t="s">
        <v>1</v>
      </c>
      <c r="M56">
        <v>4.618</v>
      </c>
      <c r="N56">
        <v>-74.1565</v>
      </c>
      <c r="O56" t="s">
        <v>1</v>
      </c>
      <c r="P56" t="s">
        <v>1</v>
      </c>
      <c r="Q56" t="s">
        <v>609</v>
      </c>
      <c r="R56" t="s">
        <v>610</v>
      </c>
    </row>
    <row r="57" spans="1:18" x14ac:dyDescent="0.25">
      <c r="A57" t="s">
        <v>611</v>
      </c>
      <c r="B57" t="s">
        <v>612</v>
      </c>
      <c r="C57" t="s">
        <v>34</v>
      </c>
      <c r="D57" t="s">
        <v>239</v>
      </c>
      <c r="E57" t="s">
        <v>111</v>
      </c>
      <c r="F57" t="s">
        <v>613</v>
      </c>
      <c r="G57" t="s">
        <v>614</v>
      </c>
      <c r="H57" t="s">
        <v>615</v>
      </c>
      <c r="I57" t="s">
        <v>616</v>
      </c>
      <c r="J57" t="s">
        <v>195</v>
      </c>
      <c r="K57" t="s">
        <v>617</v>
      </c>
      <c r="L57" t="s">
        <v>1</v>
      </c>
      <c r="M57">
        <v>4.642</v>
      </c>
      <c r="N57">
        <v>-74.16</v>
      </c>
      <c r="O57" t="s">
        <v>1</v>
      </c>
      <c r="P57" t="s">
        <v>1</v>
      </c>
      <c r="Q57" t="s">
        <v>618</v>
      </c>
      <c r="R57" t="s">
        <v>619</v>
      </c>
    </row>
    <row r="58" spans="1:18" x14ac:dyDescent="0.25">
      <c r="A58" t="s">
        <v>620</v>
      </c>
      <c r="B58" t="s">
        <v>621</v>
      </c>
      <c r="C58" t="s">
        <v>34</v>
      </c>
      <c r="D58" t="s">
        <v>239</v>
      </c>
      <c r="E58" t="s">
        <v>111</v>
      </c>
      <c r="F58" t="s">
        <v>622</v>
      </c>
      <c r="G58" t="s">
        <v>623</v>
      </c>
      <c r="H58" t="s">
        <v>624</v>
      </c>
      <c r="I58" t="s">
        <v>616</v>
      </c>
      <c r="J58" t="s">
        <v>195</v>
      </c>
      <c r="K58" t="s">
        <v>625</v>
      </c>
      <c r="L58" t="s">
        <v>1</v>
      </c>
      <c r="M58">
        <v>4.645</v>
      </c>
      <c r="N58">
        <v>-74.158</v>
      </c>
      <c r="O58" t="s">
        <v>1</v>
      </c>
      <c r="P58" t="s">
        <v>1</v>
      </c>
      <c r="Q58" t="s">
        <v>626</v>
      </c>
      <c r="R58" t="s">
        <v>627</v>
      </c>
    </row>
    <row r="59" spans="1:18" x14ac:dyDescent="0.25">
      <c r="A59" t="s">
        <v>628</v>
      </c>
      <c r="B59" t="s">
        <v>629</v>
      </c>
      <c r="C59" t="s">
        <v>34</v>
      </c>
      <c r="D59" t="s">
        <v>239</v>
      </c>
      <c r="E59" t="s">
        <v>111</v>
      </c>
      <c r="F59" t="s">
        <v>630</v>
      </c>
      <c r="G59" t="s">
        <v>631</v>
      </c>
      <c r="H59" t="s">
        <v>632</v>
      </c>
      <c r="I59" t="s">
        <v>633</v>
      </c>
      <c r="J59" t="s">
        <v>195</v>
      </c>
      <c r="K59" t="s">
        <v>634</v>
      </c>
      <c r="L59" t="s">
        <v>1</v>
      </c>
      <c r="M59">
        <v>4.635</v>
      </c>
      <c r="N59">
        <v>-74.147</v>
      </c>
      <c r="O59" t="s">
        <v>1</v>
      </c>
      <c r="P59" t="s">
        <v>1</v>
      </c>
      <c r="Q59" t="s">
        <v>635</v>
      </c>
      <c r="R59" t="s">
        <v>636</v>
      </c>
    </row>
    <row r="60" spans="1:18" x14ac:dyDescent="0.25">
      <c r="A60" t="s">
        <v>637</v>
      </c>
      <c r="B60" t="s">
        <v>638</v>
      </c>
      <c r="C60" t="s">
        <v>34</v>
      </c>
      <c r="D60" t="s">
        <v>239</v>
      </c>
      <c r="E60" t="s">
        <v>111</v>
      </c>
      <c r="F60" t="s">
        <v>639</v>
      </c>
      <c r="G60" t="s">
        <v>640</v>
      </c>
      <c r="H60" t="s">
        <v>641</v>
      </c>
      <c r="I60" t="s">
        <v>642</v>
      </c>
      <c r="J60" t="s">
        <v>195</v>
      </c>
      <c r="K60" t="s">
        <v>643</v>
      </c>
      <c r="L60" t="s">
        <v>1</v>
      </c>
      <c r="M60">
        <v>4.6415</v>
      </c>
      <c r="N60">
        <v>-74.1806</v>
      </c>
      <c r="O60" t="s">
        <v>1</v>
      </c>
      <c r="P60" t="s">
        <v>1</v>
      </c>
      <c r="Q60" t="s">
        <v>644</v>
      </c>
      <c r="R60" t="s">
        <v>645</v>
      </c>
    </row>
    <row r="61" spans="1:18" x14ac:dyDescent="0.25">
      <c r="A61" t="s">
        <v>646</v>
      </c>
      <c r="B61" t="s">
        <v>647</v>
      </c>
      <c r="C61" t="s">
        <v>34</v>
      </c>
      <c r="D61" t="s">
        <v>648</v>
      </c>
      <c r="E61" t="s">
        <v>649</v>
      </c>
      <c r="F61" t="s">
        <v>650</v>
      </c>
      <c r="G61" t="s">
        <v>651</v>
      </c>
      <c r="H61" t="s">
        <v>652</v>
      </c>
      <c r="I61" t="s">
        <v>653</v>
      </c>
      <c r="J61" t="s">
        <v>195</v>
      </c>
      <c r="K61" t="s">
        <v>654</v>
      </c>
      <c r="L61" t="s">
        <v>1</v>
      </c>
      <c r="M61">
        <v>4.6168</v>
      </c>
      <c r="N61">
        <v>-74.154</v>
      </c>
      <c r="O61" t="s">
        <v>1</v>
      </c>
      <c r="P61" t="s">
        <v>1</v>
      </c>
      <c r="Q61" t="s">
        <v>655</v>
      </c>
      <c r="R61" t="s">
        <v>254</v>
      </c>
    </row>
    <row r="62" spans="1:18" x14ac:dyDescent="0.25">
      <c r="A62" t="s">
        <v>656</v>
      </c>
      <c r="B62" t="s">
        <v>657</v>
      </c>
      <c r="C62" t="s">
        <v>16</v>
      </c>
      <c r="D62" t="s">
        <v>132</v>
      </c>
      <c r="E62" t="s">
        <v>111</v>
      </c>
      <c r="F62" t="s">
        <v>658</v>
      </c>
      <c r="G62" t="s">
        <v>659</v>
      </c>
      <c r="H62" t="s">
        <v>660</v>
      </c>
      <c r="I62" t="s">
        <v>661</v>
      </c>
      <c r="J62" t="s">
        <v>116</v>
      </c>
      <c r="K62" t="s">
        <v>662</v>
      </c>
      <c r="L62" t="s">
        <v>1</v>
      </c>
      <c r="M62">
        <v>4.627</v>
      </c>
      <c r="N62">
        <v>-74.13</v>
      </c>
      <c r="O62" t="s">
        <v>1</v>
      </c>
      <c r="P62" t="s">
        <v>1</v>
      </c>
      <c r="Q62" t="s">
        <v>663</v>
      </c>
      <c r="R62" t="s">
        <v>664</v>
      </c>
    </row>
    <row r="63" spans="1:18" x14ac:dyDescent="0.25">
      <c r="A63" t="s">
        <v>665</v>
      </c>
      <c r="B63" t="s">
        <v>666</v>
      </c>
      <c r="C63" t="s">
        <v>40</v>
      </c>
      <c r="D63" t="s">
        <v>667</v>
      </c>
      <c r="E63" t="s">
        <v>111</v>
      </c>
      <c r="F63" t="s">
        <v>542</v>
      </c>
      <c r="G63" t="s">
        <v>668</v>
      </c>
      <c r="H63" t="s">
        <v>669</v>
      </c>
      <c r="I63" t="s">
        <v>1</v>
      </c>
      <c r="J63" t="s">
        <v>1</v>
      </c>
      <c r="K63" t="s">
        <v>670</v>
      </c>
      <c r="L63" t="s">
        <v>1</v>
      </c>
      <c r="M63">
        <v>4.63</v>
      </c>
      <c r="N63">
        <v>-74.1595</v>
      </c>
      <c r="O63" t="s">
        <v>1</v>
      </c>
      <c r="P63" t="s">
        <v>1</v>
      </c>
      <c r="Q63" t="s">
        <v>671</v>
      </c>
      <c r="R63" t="s">
        <v>672</v>
      </c>
    </row>
    <row r="64" spans="1:18" x14ac:dyDescent="0.25">
      <c r="A64" t="s">
        <v>673</v>
      </c>
      <c r="B64" t="s">
        <v>674</v>
      </c>
      <c r="C64" t="s">
        <v>40</v>
      </c>
      <c r="D64" t="s">
        <v>675</v>
      </c>
      <c r="E64" t="s">
        <v>676</v>
      </c>
      <c r="F64" t="s">
        <v>677</v>
      </c>
      <c r="G64" t="s">
        <v>678</v>
      </c>
      <c r="H64" t="s">
        <v>679</v>
      </c>
      <c r="I64" t="s">
        <v>1</v>
      </c>
      <c r="J64" t="s">
        <v>1</v>
      </c>
      <c r="K64" t="s">
        <v>680</v>
      </c>
      <c r="L64" t="s">
        <v>1</v>
      </c>
      <c r="M64">
        <v>4.633</v>
      </c>
      <c r="N64">
        <v>-74.1555</v>
      </c>
      <c r="O64" t="s">
        <v>1</v>
      </c>
      <c r="P64" t="s">
        <v>1</v>
      </c>
      <c r="Q64" t="s">
        <v>681</v>
      </c>
      <c r="R64" t="s">
        <v>236</v>
      </c>
    </row>
    <row r="65" spans="1:18" x14ac:dyDescent="0.25">
      <c r="A65" t="s">
        <v>682</v>
      </c>
      <c r="B65" t="s">
        <v>683</v>
      </c>
      <c r="C65" t="s">
        <v>40</v>
      </c>
      <c r="D65" t="s">
        <v>684</v>
      </c>
      <c r="E65" t="s">
        <v>111</v>
      </c>
      <c r="F65" t="s">
        <v>142</v>
      </c>
      <c r="G65" t="s">
        <v>685</v>
      </c>
      <c r="H65" t="s">
        <v>686</v>
      </c>
      <c r="I65" t="s">
        <v>1</v>
      </c>
      <c r="J65" t="s">
        <v>1</v>
      </c>
      <c r="K65" t="s">
        <v>687</v>
      </c>
      <c r="L65" t="s">
        <v>1</v>
      </c>
      <c r="M65">
        <v>4.6393</v>
      </c>
      <c r="N65">
        <v>-74.16876</v>
      </c>
      <c r="O65" t="s">
        <v>1</v>
      </c>
      <c r="P65" t="s">
        <v>1</v>
      </c>
      <c r="Q65" t="s">
        <v>688</v>
      </c>
      <c r="R65" t="s">
        <v>689</v>
      </c>
    </row>
    <row r="66" spans="1:18" x14ac:dyDescent="0.25">
      <c r="A66" t="s">
        <v>690</v>
      </c>
      <c r="B66" t="s">
        <v>691</v>
      </c>
      <c r="C66" t="s">
        <v>40</v>
      </c>
      <c r="D66" t="s">
        <v>684</v>
      </c>
      <c r="E66" t="s">
        <v>676</v>
      </c>
      <c r="F66" t="s">
        <v>692</v>
      </c>
      <c r="G66" t="s">
        <v>693</v>
      </c>
      <c r="H66" t="s">
        <v>694</v>
      </c>
      <c r="I66" t="s">
        <v>1</v>
      </c>
      <c r="J66" t="s">
        <v>1</v>
      </c>
      <c r="K66" t="s">
        <v>695</v>
      </c>
      <c r="L66" t="s">
        <v>1</v>
      </c>
      <c r="M66">
        <v>4.6335</v>
      </c>
      <c r="N66">
        <v>-74.1612</v>
      </c>
      <c r="O66" t="s">
        <v>1</v>
      </c>
      <c r="P66" t="s">
        <v>1</v>
      </c>
      <c r="Q66" t="s">
        <v>696</v>
      </c>
      <c r="R66" t="s">
        <v>65</v>
      </c>
    </row>
    <row r="67" spans="1:18" x14ac:dyDescent="0.25">
      <c r="A67" t="s">
        <v>697</v>
      </c>
      <c r="B67" t="s">
        <v>698</v>
      </c>
      <c r="C67" t="s">
        <v>40</v>
      </c>
      <c r="D67" t="s">
        <v>684</v>
      </c>
      <c r="E67" t="s">
        <v>111</v>
      </c>
      <c r="F67" t="s">
        <v>699</v>
      </c>
      <c r="G67" t="s">
        <v>700</v>
      </c>
      <c r="H67" t="s">
        <v>701</v>
      </c>
      <c r="I67" t="s">
        <v>1</v>
      </c>
      <c r="J67" t="s">
        <v>1</v>
      </c>
      <c r="K67" t="s">
        <v>702</v>
      </c>
      <c r="L67" t="s">
        <v>1</v>
      </c>
      <c r="M67">
        <v>4.6262</v>
      </c>
      <c r="N67">
        <v>-74.1555</v>
      </c>
      <c r="O67" t="s">
        <v>1</v>
      </c>
      <c r="P67" t="s">
        <v>1</v>
      </c>
      <c r="Q67" t="s">
        <v>703</v>
      </c>
      <c r="R67" t="s">
        <v>37</v>
      </c>
    </row>
    <row r="68" spans="1:18" x14ac:dyDescent="0.25">
      <c r="A68" t="s">
        <v>704</v>
      </c>
      <c r="B68" t="s">
        <v>705</v>
      </c>
      <c r="C68" t="s">
        <v>40</v>
      </c>
      <c r="D68" t="s">
        <v>706</v>
      </c>
      <c r="E68" t="s">
        <v>676</v>
      </c>
      <c r="F68" t="s">
        <v>707</v>
      </c>
      <c r="G68" t="s">
        <v>708</v>
      </c>
      <c r="H68" t="s">
        <v>709</v>
      </c>
      <c r="I68" t="s">
        <v>1</v>
      </c>
      <c r="J68" t="s">
        <v>1</v>
      </c>
      <c r="K68" t="s">
        <v>710</v>
      </c>
      <c r="L68" t="s">
        <v>1</v>
      </c>
      <c r="M68">
        <v>4.6272</v>
      </c>
      <c r="N68">
        <v>-74.154</v>
      </c>
      <c r="O68" t="s">
        <v>1</v>
      </c>
      <c r="P68" t="s">
        <v>1</v>
      </c>
      <c r="Q68" t="s">
        <v>711</v>
      </c>
      <c r="R68" t="s">
        <v>712</v>
      </c>
    </row>
    <row r="69" spans="1:18" x14ac:dyDescent="0.25">
      <c r="A69" t="s">
        <v>713</v>
      </c>
      <c r="B69" t="s">
        <v>714</v>
      </c>
      <c r="C69" t="s">
        <v>40</v>
      </c>
      <c r="D69" t="s">
        <v>715</v>
      </c>
      <c r="E69" t="s">
        <v>111</v>
      </c>
      <c r="F69" t="s">
        <v>142</v>
      </c>
      <c r="G69" t="s">
        <v>716</v>
      </c>
      <c r="H69" t="s">
        <v>717</v>
      </c>
      <c r="I69" t="s">
        <v>1</v>
      </c>
      <c r="J69" t="s">
        <v>1</v>
      </c>
      <c r="K69" t="s">
        <v>718</v>
      </c>
      <c r="L69" t="s">
        <v>1</v>
      </c>
      <c r="M69">
        <v>4.6392</v>
      </c>
      <c r="N69">
        <v>-74.168</v>
      </c>
      <c r="O69" t="s">
        <v>1</v>
      </c>
      <c r="P69" t="s">
        <v>1</v>
      </c>
      <c r="Q69" t="s">
        <v>719</v>
      </c>
      <c r="R69" t="s">
        <v>433</v>
      </c>
    </row>
    <row r="70" spans="1:18" x14ac:dyDescent="0.25">
      <c r="A70" t="s">
        <v>720</v>
      </c>
      <c r="B70" t="s">
        <v>721</v>
      </c>
      <c r="C70" t="s">
        <v>40</v>
      </c>
      <c r="D70" t="s">
        <v>722</v>
      </c>
      <c r="E70" t="s">
        <v>111</v>
      </c>
      <c r="F70" t="s">
        <v>142</v>
      </c>
      <c r="G70" t="s">
        <v>723</v>
      </c>
      <c r="H70" t="s">
        <v>724</v>
      </c>
      <c r="I70" t="s">
        <v>1</v>
      </c>
      <c r="J70" t="s">
        <v>1</v>
      </c>
      <c r="K70" t="s">
        <v>725</v>
      </c>
      <c r="L70" t="s">
        <v>1</v>
      </c>
      <c r="M70">
        <v>4.6418</v>
      </c>
      <c r="N70">
        <v>-74.1702</v>
      </c>
      <c r="O70" t="s">
        <v>1</v>
      </c>
      <c r="P70" t="s">
        <v>1</v>
      </c>
      <c r="Q70" t="s">
        <v>726</v>
      </c>
      <c r="R70" t="s">
        <v>727</v>
      </c>
    </row>
    <row r="71" spans="1:18" x14ac:dyDescent="0.25">
      <c r="A71" t="s">
        <v>728</v>
      </c>
      <c r="B71" t="s">
        <v>729</v>
      </c>
      <c r="C71" t="s">
        <v>40</v>
      </c>
      <c r="D71" t="s">
        <v>730</v>
      </c>
      <c r="E71" t="s">
        <v>111</v>
      </c>
      <c r="F71" t="s">
        <v>542</v>
      </c>
      <c r="G71" t="s">
        <v>731</v>
      </c>
      <c r="H71" t="s">
        <v>732</v>
      </c>
      <c r="I71" t="s">
        <v>1</v>
      </c>
      <c r="J71" t="s">
        <v>1</v>
      </c>
      <c r="K71" t="s">
        <v>733</v>
      </c>
      <c r="L71" t="s">
        <v>1</v>
      </c>
      <c r="M71">
        <v>4.6312</v>
      </c>
      <c r="N71">
        <v>-74.1603</v>
      </c>
      <c r="O71" t="s">
        <v>1</v>
      </c>
      <c r="P71" t="s">
        <v>1</v>
      </c>
      <c r="Q71" t="s">
        <v>734</v>
      </c>
      <c r="R71" t="s">
        <v>735</v>
      </c>
    </row>
    <row r="72" spans="1:18" x14ac:dyDescent="0.25">
      <c r="A72" t="s">
        <v>736</v>
      </c>
      <c r="B72" t="s">
        <v>737</v>
      </c>
      <c r="C72" t="s">
        <v>40</v>
      </c>
      <c r="D72" t="s">
        <v>706</v>
      </c>
      <c r="E72" t="s">
        <v>111</v>
      </c>
      <c r="F72" t="s">
        <v>542</v>
      </c>
      <c r="G72" t="s">
        <v>738</v>
      </c>
      <c r="H72" t="s">
        <v>739</v>
      </c>
      <c r="I72" t="s">
        <v>1</v>
      </c>
      <c r="J72" t="s">
        <v>1</v>
      </c>
      <c r="K72" t="s">
        <v>740</v>
      </c>
      <c r="L72" t="s">
        <v>1</v>
      </c>
      <c r="M72">
        <v>4.6295</v>
      </c>
      <c r="N72">
        <v>-74.158</v>
      </c>
      <c r="O72" t="s">
        <v>1</v>
      </c>
      <c r="P72" t="s">
        <v>1</v>
      </c>
      <c r="Q72" t="s">
        <v>741</v>
      </c>
      <c r="R72" t="s">
        <v>742</v>
      </c>
    </row>
    <row r="73" spans="1:18" x14ac:dyDescent="0.25">
      <c r="A73" t="s">
        <v>743</v>
      </c>
      <c r="B73" t="s">
        <v>744</v>
      </c>
      <c r="C73" t="s">
        <v>40</v>
      </c>
      <c r="D73" t="s">
        <v>745</v>
      </c>
      <c r="E73" t="s">
        <v>111</v>
      </c>
      <c r="F73" t="s">
        <v>746</v>
      </c>
      <c r="G73" t="s">
        <v>747</v>
      </c>
      <c r="H73" t="s">
        <v>748</v>
      </c>
      <c r="I73" t="s">
        <v>1</v>
      </c>
      <c r="J73" t="s">
        <v>1</v>
      </c>
      <c r="K73" t="s">
        <v>749</v>
      </c>
      <c r="L73" t="s">
        <v>1</v>
      </c>
      <c r="M73">
        <v>4.628</v>
      </c>
      <c r="N73">
        <v>-74.1632</v>
      </c>
      <c r="O73" t="s">
        <v>1</v>
      </c>
      <c r="P73" t="s">
        <v>1</v>
      </c>
      <c r="Q73" t="s">
        <v>750</v>
      </c>
      <c r="R73" t="s">
        <v>751</v>
      </c>
    </row>
    <row r="74" spans="1:18" x14ac:dyDescent="0.25">
      <c r="A74" t="s">
        <v>752</v>
      </c>
      <c r="B74" t="s">
        <v>753</v>
      </c>
      <c r="C74" t="s">
        <v>40</v>
      </c>
      <c r="D74" t="s">
        <v>745</v>
      </c>
      <c r="E74" t="s">
        <v>111</v>
      </c>
      <c r="F74" t="s">
        <v>746</v>
      </c>
      <c r="G74" t="s">
        <v>754</v>
      </c>
      <c r="H74" t="s">
        <v>755</v>
      </c>
      <c r="I74" t="s">
        <v>1</v>
      </c>
      <c r="J74" t="s">
        <v>1</v>
      </c>
      <c r="K74" t="s">
        <v>749</v>
      </c>
      <c r="L74" t="s">
        <v>1</v>
      </c>
      <c r="M74">
        <v>4.6296</v>
      </c>
      <c r="N74">
        <v>-74.1645</v>
      </c>
      <c r="O74" t="s">
        <v>1</v>
      </c>
      <c r="P74" t="s">
        <v>1</v>
      </c>
      <c r="Q74" t="s">
        <v>756</v>
      </c>
      <c r="R74" t="s">
        <v>757</v>
      </c>
    </row>
    <row r="75" spans="1:18" x14ac:dyDescent="0.25">
      <c r="A75" t="s">
        <v>758</v>
      </c>
      <c r="B75" t="s">
        <v>759</v>
      </c>
      <c r="C75" t="s">
        <v>40</v>
      </c>
      <c r="D75" t="s">
        <v>706</v>
      </c>
      <c r="E75" t="s">
        <v>676</v>
      </c>
      <c r="F75" t="s">
        <v>760</v>
      </c>
      <c r="G75" t="s">
        <v>761</v>
      </c>
      <c r="H75" t="s">
        <v>762</v>
      </c>
      <c r="I75" t="s">
        <v>1</v>
      </c>
      <c r="J75" t="s">
        <v>1</v>
      </c>
      <c r="K75" t="s">
        <v>763</v>
      </c>
      <c r="L75" t="s">
        <v>1</v>
      </c>
      <c r="M75">
        <v>4.6021</v>
      </c>
      <c r="N75">
        <v>-74.1397</v>
      </c>
      <c r="O75" t="s">
        <v>1</v>
      </c>
      <c r="P75" t="s">
        <v>1</v>
      </c>
      <c r="Q75" t="s">
        <v>764</v>
      </c>
      <c r="R75" t="s">
        <v>119</v>
      </c>
    </row>
    <row r="76" spans="1:18" x14ac:dyDescent="0.25">
      <c r="A76" t="s">
        <v>765</v>
      </c>
      <c r="B76" t="s">
        <v>766</v>
      </c>
      <c r="C76" t="s">
        <v>40</v>
      </c>
      <c r="D76" t="s">
        <v>684</v>
      </c>
      <c r="E76" t="s">
        <v>111</v>
      </c>
      <c r="F76" t="s">
        <v>760</v>
      </c>
      <c r="G76" t="s">
        <v>767</v>
      </c>
      <c r="H76" t="s">
        <v>768</v>
      </c>
      <c r="I76" t="s">
        <v>1</v>
      </c>
      <c r="J76" t="s">
        <v>1</v>
      </c>
      <c r="K76" t="s">
        <v>769</v>
      </c>
      <c r="L76" t="s">
        <v>1</v>
      </c>
      <c r="M76">
        <v>4.6008</v>
      </c>
      <c r="N76">
        <v>-74.1378</v>
      </c>
      <c r="O76" t="s">
        <v>1</v>
      </c>
      <c r="P76" t="s">
        <v>1</v>
      </c>
      <c r="Q76" t="s">
        <v>770</v>
      </c>
      <c r="R76" t="s">
        <v>771</v>
      </c>
    </row>
    <row r="77" spans="1:18" x14ac:dyDescent="0.25">
      <c r="A77" t="s">
        <v>772</v>
      </c>
      <c r="B77" t="s">
        <v>773</v>
      </c>
      <c r="C77" t="s">
        <v>40</v>
      </c>
      <c r="D77" t="s">
        <v>774</v>
      </c>
      <c r="E77" t="s">
        <v>111</v>
      </c>
      <c r="F77" t="s">
        <v>542</v>
      </c>
      <c r="G77" t="s">
        <v>775</v>
      </c>
      <c r="H77" t="s">
        <v>776</v>
      </c>
      <c r="I77" t="s">
        <v>1</v>
      </c>
      <c r="J77" t="s">
        <v>1</v>
      </c>
      <c r="K77" t="s">
        <v>777</v>
      </c>
      <c r="L77" t="s">
        <v>1</v>
      </c>
      <c r="M77">
        <v>4.6307</v>
      </c>
      <c r="N77">
        <v>-74.1572</v>
      </c>
      <c r="O77" t="s">
        <v>1</v>
      </c>
      <c r="P77" t="s">
        <v>1</v>
      </c>
      <c r="Q77" t="s">
        <v>778</v>
      </c>
      <c r="R77" t="s">
        <v>779</v>
      </c>
    </row>
    <row r="78" spans="1:18" x14ac:dyDescent="0.25">
      <c r="A78" t="s">
        <v>780</v>
      </c>
      <c r="B78" t="s">
        <v>781</v>
      </c>
      <c r="C78" t="s">
        <v>40</v>
      </c>
      <c r="D78" t="s">
        <v>675</v>
      </c>
      <c r="E78" t="s">
        <v>111</v>
      </c>
      <c r="F78" t="s">
        <v>471</v>
      </c>
      <c r="G78" t="s">
        <v>782</v>
      </c>
      <c r="H78" t="s">
        <v>783</v>
      </c>
      <c r="I78" t="s">
        <v>1</v>
      </c>
      <c r="J78" t="s">
        <v>1</v>
      </c>
      <c r="K78" t="s">
        <v>784</v>
      </c>
      <c r="L78" t="s">
        <v>1</v>
      </c>
      <c r="M78">
        <v>4.629</v>
      </c>
      <c r="N78">
        <v>-74.1712</v>
      </c>
      <c r="O78" t="s">
        <v>1</v>
      </c>
      <c r="P78" t="s">
        <v>1</v>
      </c>
      <c r="Q78" t="s">
        <v>785</v>
      </c>
      <c r="R78" t="s">
        <v>786</v>
      </c>
    </row>
    <row r="79" spans="1:18" x14ac:dyDescent="0.25">
      <c r="A79" t="s">
        <v>787</v>
      </c>
      <c r="B79" t="s">
        <v>788</v>
      </c>
      <c r="C79" t="s">
        <v>40</v>
      </c>
      <c r="D79" t="s">
        <v>675</v>
      </c>
      <c r="E79" t="s">
        <v>111</v>
      </c>
      <c r="F79" t="s">
        <v>789</v>
      </c>
      <c r="G79" t="s">
        <v>790</v>
      </c>
      <c r="H79" t="s">
        <v>791</v>
      </c>
      <c r="I79" t="s">
        <v>1</v>
      </c>
      <c r="J79" t="s">
        <v>1</v>
      </c>
      <c r="K79" t="s">
        <v>792</v>
      </c>
      <c r="L79" t="s">
        <v>1</v>
      </c>
      <c r="M79">
        <v>4.6439</v>
      </c>
      <c r="N79">
        <v>-74.1545</v>
      </c>
      <c r="O79" t="s">
        <v>1</v>
      </c>
      <c r="P79" t="s">
        <v>1</v>
      </c>
      <c r="Q79" t="s">
        <v>793</v>
      </c>
      <c r="R79" t="s">
        <v>794</v>
      </c>
    </row>
    <row r="80" spans="1:18" x14ac:dyDescent="0.25">
      <c r="A80" t="s">
        <v>795</v>
      </c>
      <c r="B80" t="s">
        <v>796</v>
      </c>
      <c r="C80" t="s">
        <v>40</v>
      </c>
      <c r="D80" t="s">
        <v>797</v>
      </c>
      <c r="E80" t="s">
        <v>111</v>
      </c>
      <c r="F80" t="s">
        <v>798</v>
      </c>
      <c r="G80" t="s">
        <v>799</v>
      </c>
      <c r="H80" t="s">
        <v>800</v>
      </c>
      <c r="I80" t="s">
        <v>1</v>
      </c>
      <c r="J80" t="s">
        <v>1</v>
      </c>
      <c r="K80" t="s">
        <v>801</v>
      </c>
      <c r="L80" t="s">
        <v>1</v>
      </c>
      <c r="M80">
        <v>4.6278</v>
      </c>
      <c r="N80">
        <v>-74.1642</v>
      </c>
      <c r="O80" t="s">
        <v>1</v>
      </c>
      <c r="P80" t="s">
        <v>1</v>
      </c>
      <c r="Q80" t="s">
        <v>802</v>
      </c>
      <c r="R80" t="s">
        <v>803</v>
      </c>
    </row>
    <row r="81" spans="1:18" x14ac:dyDescent="0.25">
      <c r="A81" t="s">
        <v>804</v>
      </c>
      <c r="B81" t="s">
        <v>805</v>
      </c>
      <c r="C81" t="s">
        <v>40</v>
      </c>
      <c r="D81" t="s">
        <v>675</v>
      </c>
      <c r="E81" t="s">
        <v>111</v>
      </c>
      <c r="F81" t="s">
        <v>142</v>
      </c>
      <c r="G81" t="s">
        <v>806</v>
      </c>
      <c r="H81" t="s">
        <v>807</v>
      </c>
      <c r="I81" t="s">
        <v>1</v>
      </c>
      <c r="J81" t="s">
        <v>1</v>
      </c>
      <c r="K81" t="s">
        <v>808</v>
      </c>
      <c r="L81" t="s">
        <v>1</v>
      </c>
      <c r="M81">
        <v>4.6425</v>
      </c>
      <c r="N81">
        <v>-74.169</v>
      </c>
      <c r="O81" t="s">
        <v>1</v>
      </c>
      <c r="P81" t="s">
        <v>1</v>
      </c>
      <c r="Q81" t="s">
        <v>809</v>
      </c>
      <c r="R81" t="s">
        <v>31</v>
      </c>
    </row>
    <row r="82" spans="1:18" x14ac:dyDescent="0.25">
      <c r="A82" t="s">
        <v>810</v>
      </c>
      <c r="B82" t="s">
        <v>811</v>
      </c>
      <c r="C82" t="s">
        <v>40</v>
      </c>
      <c r="D82" t="s">
        <v>675</v>
      </c>
      <c r="E82" t="s">
        <v>111</v>
      </c>
      <c r="F82" t="s">
        <v>471</v>
      </c>
      <c r="G82" t="s">
        <v>812</v>
      </c>
      <c r="H82" t="s">
        <v>813</v>
      </c>
      <c r="I82" t="s">
        <v>1</v>
      </c>
      <c r="J82" t="s">
        <v>1</v>
      </c>
      <c r="K82" t="s">
        <v>814</v>
      </c>
      <c r="L82" t="s">
        <v>1</v>
      </c>
      <c r="M82">
        <v>4.6298</v>
      </c>
      <c r="N82">
        <v>-74.1726</v>
      </c>
      <c r="O82" t="s">
        <v>1</v>
      </c>
      <c r="P82" t="s">
        <v>1</v>
      </c>
      <c r="Q82" t="s">
        <v>815</v>
      </c>
      <c r="R82" t="s">
        <v>494</v>
      </c>
    </row>
    <row r="83" spans="1:18" x14ac:dyDescent="0.25">
      <c r="A83" t="s">
        <v>816</v>
      </c>
      <c r="B83" t="s">
        <v>817</v>
      </c>
      <c r="C83" t="s">
        <v>40</v>
      </c>
      <c r="D83" t="s">
        <v>675</v>
      </c>
      <c r="E83" t="s">
        <v>111</v>
      </c>
      <c r="F83" t="s">
        <v>818</v>
      </c>
      <c r="G83" t="s">
        <v>819</v>
      </c>
      <c r="H83" t="s">
        <v>820</v>
      </c>
      <c r="I83" t="s">
        <v>1</v>
      </c>
      <c r="J83" t="s">
        <v>1</v>
      </c>
      <c r="K83" t="s">
        <v>821</v>
      </c>
      <c r="L83" t="s">
        <v>1</v>
      </c>
      <c r="M83">
        <v>4.6436</v>
      </c>
      <c r="N83">
        <v>-74.1548</v>
      </c>
      <c r="O83" t="s">
        <v>1</v>
      </c>
      <c r="P83" t="s">
        <v>1</v>
      </c>
      <c r="Q83" t="s">
        <v>822</v>
      </c>
      <c r="R83" t="s">
        <v>823</v>
      </c>
    </row>
    <row r="84" spans="1:18" x14ac:dyDescent="0.25">
      <c r="A84" t="s">
        <v>824</v>
      </c>
      <c r="B84" t="s">
        <v>825</v>
      </c>
      <c r="C84" t="s">
        <v>40</v>
      </c>
      <c r="D84" t="s">
        <v>745</v>
      </c>
      <c r="E84" t="s">
        <v>111</v>
      </c>
      <c r="F84" t="s">
        <v>240</v>
      </c>
      <c r="G84" t="s">
        <v>826</v>
      </c>
      <c r="H84" t="s">
        <v>827</v>
      </c>
      <c r="I84" t="s">
        <v>1</v>
      </c>
      <c r="J84" t="s">
        <v>1</v>
      </c>
      <c r="K84" t="s">
        <v>828</v>
      </c>
      <c r="L84" t="s">
        <v>1</v>
      </c>
      <c r="M84">
        <v>4.642</v>
      </c>
      <c r="N84">
        <v>-74.1508</v>
      </c>
      <c r="O84" t="s">
        <v>1</v>
      </c>
      <c r="P84" t="s">
        <v>1</v>
      </c>
      <c r="Q84" t="s">
        <v>829</v>
      </c>
      <c r="R84" t="s">
        <v>830</v>
      </c>
    </row>
    <row r="85" spans="1:18" x14ac:dyDescent="0.25">
      <c r="A85" t="s">
        <v>831</v>
      </c>
      <c r="B85" t="s">
        <v>832</v>
      </c>
      <c r="C85" t="s">
        <v>40</v>
      </c>
      <c r="D85" t="s">
        <v>745</v>
      </c>
      <c r="E85" t="s">
        <v>111</v>
      </c>
      <c r="F85" t="s">
        <v>240</v>
      </c>
      <c r="G85" t="s">
        <v>833</v>
      </c>
      <c r="H85" t="s">
        <v>834</v>
      </c>
      <c r="I85" t="s">
        <v>1</v>
      </c>
      <c r="J85" t="s">
        <v>1</v>
      </c>
      <c r="K85" t="s">
        <v>835</v>
      </c>
      <c r="L85" t="s">
        <v>1</v>
      </c>
      <c r="M85">
        <v>4.6408</v>
      </c>
      <c r="N85">
        <v>-74.1488</v>
      </c>
      <c r="O85" t="s">
        <v>1</v>
      </c>
      <c r="P85" t="s">
        <v>1</v>
      </c>
      <c r="Q85" t="s">
        <v>836</v>
      </c>
      <c r="R85" t="s">
        <v>837</v>
      </c>
    </row>
    <row r="86" spans="1:18" x14ac:dyDescent="0.25">
      <c r="A86" t="s">
        <v>838</v>
      </c>
      <c r="B86" t="s">
        <v>839</v>
      </c>
      <c r="C86" t="s">
        <v>40</v>
      </c>
      <c r="D86" t="s">
        <v>745</v>
      </c>
      <c r="E86" t="s">
        <v>676</v>
      </c>
      <c r="F86" t="s">
        <v>746</v>
      </c>
      <c r="G86" t="s">
        <v>840</v>
      </c>
      <c r="H86" t="s">
        <v>841</v>
      </c>
      <c r="I86" t="s">
        <v>1</v>
      </c>
      <c r="J86" t="s">
        <v>1</v>
      </c>
      <c r="K86" t="s">
        <v>842</v>
      </c>
      <c r="L86" t="s">
        <v>1</v>
      </c>
      <c r="M86">
        <v>4.6275</v>
      </c>
      <c r="N86">
        <v>-74.1618</v>
      </c>
      <c r="O86" t="s">
        <v>1</v>
      </c>
      <c r="P86" t="s">
        <v>1</v>
      </c>
      <c r="Q86" t="s">
        <v>843</v>
      </c>
      <c r="R86" t="s">
        <v>70</v>
      </c>
    </row>
    <row r="87" spans="1:18" x14ac:dyDescent="0.25">
      <c r="A87" t="s">
        <v>844</v>
      </c>
      <c r="B87" t="s">
        <v>845</v>
      </c>
      <c r="C87" t="s">
        <v>40</v>
      </c>
      <c r="D87" t="s">
        <v>745</v>
      </c>
      <c r="E87" t="s">
        <v>111</v>
      </c>
      <c r="F87" t="s">
        <v>846</v>
      </c>
      <c r="G87" t="s">
        <v>847</v>
      </c>
      <c r="H87" t="s">
        <v>848</v>
      </c>
      <c r="I87" t="s">
        <v>1</v>
      </c>
      <c r="J87" t="s">
        <v>1</v>
      </c>
      <c r="K87" t="s">
        <v>849</v>
      </c>
      <c r="L87" t="s">
        <v>1</v>
      </c>
      <c r="M87">
        <v>4.6242</v>
      </c>
      <c r="N87">
        <v>-74.1662</v>
      </c>
      <c r="O87" t="s">
        <v>1</v>
      </c>
      <c r="P87" t="s">
        <v>1</v>
      </c>
      <c r="Q87" t="s">
        <v>850</v>
      </c>
      <c r="R87" t="s">
        <v>272</v>
      </c>
    </row>
    <row r="88" spans="1:18" x14ac:dyDescent="0.25">
      <c r="A88" t="s">
        <v>851</v>
      </c>
      <c r="B88" t="s">
        <v>852</v>
      </c>
      <c r="C88" t="s">
        <v>40</v>
      </c>
      <c r="D88" t="s">
        <v>745</v>
      </c>
      <c r="E88" t="s">
        <v>111</v>
      </c>
      <c r="F88" t="s">
        <v>257</v>
      </c>
      <c r="G88" t="s">
        <v>853</v>
      </c>
      <c r="H88" t="s">
        <v>854</v>
      </c>
      <c r="I88" t="s">
        <v>1</v>
      </c>
      <c r="J88" t="s">
        <v>1</v>
      </c>
      <c r="K88" t="s">
        <v>855</v>
      </c>
      <c r="L88" t="s">
        <v>1</v>
      </c>
      <c r="M88">
        <v>4.6458</v>
      </c>
      <c r="N88">
        <v>-74.1408</v>
      </c>
      <c r="O88" t="s">
        <v>1</v>
      </c>
      <c r="P88" t="s">
        <v>1</v>
      </c>
      <c r="Q88" t="s">
        <v>856</v>
      </c>
      <c r="R88" t="s">
        <v>857</v>
      </c>
    </row>
    <row r="89" spans="1:18" x14ac:dyDescent="0.25">
      <c r="A89" t="s">
        <v>858</v>
      </c>
      <c r="B89" t="s">
        <v>859</v>
      </c>
      <c r="C89" t="s">
        <v>40</v>
      </c>
      <c r="D89" t="s">
        <v>745</v>
      </c>
      <c r="E89" t="s">
        <v>111</v>
      </c>
      <c r="F89" t="s">
        <v>860</v>
      </c>
      <c r="G89" t="s">
        <v>861</v>
      </c>
      <c r="H89" t="s">
        <v>862</v>
      </c>
      <c r="I89" t="s">
        <v>1</v>
      </c>
      <c r="J89" t="s">
        <v>1</v>
      </c>
      <c r="K89" t="s">
        <v>863</v>
      </c>
      <c r="L89" t="s">
        <v>1</v>
      </c>
      <c r="M89">
        <v>4.624</v>
      </c>
      <c r="N89">
        <v>-74.13</v>
      </c>
      <c r="O89" t="s">
        <v>1</v>
      </c>
      <c r="P89" t="s">
        <v>1</v>
      </c>
      <c r="Q89" t="s">
        <v>864</v>
      </c>
      <c r="R89" t="s">
        <v>263</v>
      </c>
    </row>
    <row r="90" spans="1:18" x14ac:dyDescent="0.25">
      <c r="A90" t="s">
        <v>865</v>
      </c>
      <c r="B90" t="s">
        <v>866</v>
      </c>
      <c r="C90" t="s">
        <v>40</v>
      </c>
      <c r="D90" t="s">
        <v>745</v>
      </c>
      <c r="E90" t="s">
        <v>111</v>
      </c>
      <c r="F90" t="s">
        <v>867</v>
      </c>
      <c r="G90" t="s">
        <v>868</v>
      </c>
      <c r="H90" t="s">
        <v>869</v>
      </c>
      <c r="I90" t="s">
        <v>1</v>
      </c>
      <c r="J90" t="s">
        <v>1</v>
      </c>
      <c r="K90" t="s">
        <v>870</v>
      </c>
      <c r="L90" t="s">
        <v>1</v>
      </c>
      <c r="M90">
        <v>4.623</v>
      </c>
      <c r="N90">
        <v>-74.1288</v>
      </c>
      <c r="O90" t="s">
        <v>1</v>
      </c>
      <c r="P90" t="s">
        <v>1</v>
      </c>
      <c r="Q90" t="s">
        <v>871</v>
      </c>
      <c r="R90" t="s">
        <v>254</v>
      </c>
    </row>
    <row r="91" spans="1:18" x14ac:dyDescent="0.25">
      <c r="A91" t="s">
        <v>872</v>
      </c>
      <c r="B91" t="s">
        <v>873</v>
      </c>
      <c r="C91" t="s">
        <v>40</v>
      </c>
      <c r="D91" t="s">
        <v>745</v>
      </c>
      <c r="E91" t="s">
        <v>874</v>
      </c>
      <c r="F91" t="s">
        <v>142</v>
      </c>
      <c r="G91" t="s">
        <v>875</v>
      </c>
      <c r="H91" t="s">
        <v>876</v>
      </c>
      <c r="I91" t="s">
        <v>1</v>
      </c>
      <c r="J91" t="s">
        <v>1</v>
      </c>
      <c r="K91" t="s">
        <v>877</v>
      </c>
      <c r="L91" t="s">
        <v>1</v>
      </c>
      <c r="M91">
        <v>4.6395</v>
      </c>
      <c r="N91">
        <v>-74.17</v>
      </c>
      <c r="O91" t="s">
        <v>1</v>
      </c>
      <c r="P91" t="s">
        <v>1</v>
      </c>
      <c r="Q91" t="s">
        <v>878</v>
      </c>
      <c r="R91" t="s">
        <v>879</v>
      </c>
    </row>
    <row r="92" spans="1:18" x14ac:dyDescent="0.25">
      <c r="A92" t="s">
        <v>880</v>
      </c>
      <c r="B92" t="s">
        <v>881</v>
      </c>
      <c r="C92" t="s">
        <v>40</v>
      </c>
      <c r="D92" t="s">
        <v>745</v>
      </c>
      <c r="E92" t="s">
        <v>293</v>
      </c>
      <c r="F92" t="s">
        <v>882</v>
      </c>
      <c r="G92" t="s">
        <v>883</v>
      </c>
      <c r="H92" t="s">
        <v>884</v>
      </c>
      <c r="I92" t="s">
        <v>1</v>
      </c>
      <c r="J92" t="s">
        <v>1</v>
      </c>
      <c r="K92" t="s">
        <v>885</v>
      </c>
      <c r="L92" t="s">
        <v>1</v>
      </c>
      <c r="M92">
        <v>4.6205</v>
      </c>
      <c r="N92">
        <v>-74.149</v>
      </c>
      <c r="O92" t="s">
        <v>1</v>
      </c>
      <c r="P92" t="s">
        <v>1</v>
      </c>
      <c r="Q92" t="s">
        <v>886</v>
      </c>
      <c r="R92" t="s">
        <v>887</v>
      </c>
    </row>
    <row r="93" spans="1:18" x14ac:dyDescent="0.25">
      <c r="A93" t="s">
        <v>888</v>
      </c>
      <c r="B93" t="s">
        <v>889</v>
      </c>
      <c r="C93" t="s">
        <v>40</v>
      </c>
      <c r="D93" t="s">
        <v>745</v>
      </c>
      <c r="E93" t="s">
        <v>293</v>
      </c>
      <c r="F93" t="s">
        <v>890</v>
      </c>
      <c r="G93" t="s">
        <v>891</v>
      </c>
      <c r="H93" t="s">
        <v>892</v>
      </c>
      <c r="I93" t="s">
        <v>1</v>
      </c>
      <c r="J93" t="s">
        <v>1</v>
      </c>
      <c r="K93" t="s">
        <v>893</v>
      </c>
      <c r="L93" t="s">
        <v>1</v>
      </c>
      <c r="M93">
        <v>4.63</v>
      </c>
      <c r="N93">
        <v>-74.1615</v>
      </c>
      <c r="O93" t="s">
        <v>1</v>
      </c>
      <c r="P93" t="s">
        <v>1</v>
      </c>
      <c r="Q93" t="s">
        <v>894</v>
      </c>
      <c r="R93" t="s">
        <v>895</v>
      </c>
    </row>
    <row r="94" spans="1:18" x14ac:dyDescent="0.25">
      <c r="A94" t="s">
        <v>896</v>
      </c>
      <c r="B94" t="s">
        <v>897</v>
      </c>
      <c r="C94" t="s">
        <v>40</v>
      </c>
      <c r="D94" t="s">
        <v>684</v>
      </c>
      <c r="E94" t="s">
        <v>111</v>
      </c>
      <c r="F94" t="s">
        <v>419</v>
      </c>
      <c r="G94" t="s">
        <v>898</v>
      </c>
      <c r="H94" t="s">
        <v>899</v>
      </c>
      <c r="I94" t="s">
        <v>1</v>
      </c>
      <c r="J94" t="s">
        <v>1</v>
      </c>
      <c r="K94" t="s">
        <v>900</v>
      </c>
      <c r="L94" t="s">
        <v>1</v>
      </c>
      <c r="M94">
        <v>4.62</v>
      </c>
      <c r="N94">
        <v>-74.1585</v>
      </c>
      <c r="O94" t="s">
        <v>1</v>
      </c>
      <c r="P94" t="s">
        <v>1</v>
      </c>
      <c r="Q94" t="s">
        <v>901</v>
      </c>
      <c r="R94" t="s">
        <v>902</v>
      </c>
    </row>
    <row r="95" spans="1:18" x14ac:dyDescent="0.25">
      <c r="A95" t="s">
        <v>903</v>
      </c>
      <c r="B95" t="s">
        <v>904</v>
      </c>
      <c r="C95" t="s">
        <v>40</v>
      </c>
      <c r="D95" t="s">
        <v>706</v>
      </c>
      <c r="E95" t="s">
        <v>676</v>
      </c>
      <c r="F95" t="s">
        <v>905</v>
      </c>
      <c r="G95" t="s">
        <v>906</v>
      </c>
      <c r="H95" t="s">
        <v>907</v>
      </c>
      <c r="I95" t="s">
        <v>1</v>
      </c>
      <c r="J95" t="s">
        <v>1</v>
      </c>
      <c r="K95" t="s">
        <v>908</v>
      </c>
      <c r="L95" t="s">
        <v>1</v>
      </c>
      <c r="M95">
        <v>4.6185</v>
      </c>
      <c r="N95">
        <v>-74.1345</v>
      </c>
      <c r="O95" t="s">
        <v>1</v>
      </c>
      <c r="P95" t="s">
        <v>1</v>
      </c>
      <c r="Q95" t="s">
        <v>909</v>
      </c>
      <c r="R95" t="s">
        <v>910</v>
      </c>
    </row>
    <row r="96" spans="1:18" x14ac:dyDescent="0.25">
      <c r="A96" t="s">
        <v>911</v>
      </c>
      <c r="B96" t="s">
        <v>912</v>
      </c>
      <c r="C96" t="s">
        <v>40</v>
      </c>
      <c r="D96" t="s">
        <v>706</v>
      </c>
      <c r="E96" t="s">
        <v>676</v>
      </c>
      <c r="F96" t="s">
        <v>419</v>
      </c>
      <c r="G96" t="s">
        <v>913</v>
      </c>
      <c r="H96" t="s">
        <v>914</v>
      </c>
      <c r="I96" t="s">
        <v>1</v>
      </c>
      <c r="J96" t="s">
        <v>1</v>
      </c>
      <c r="K96" t="s">
        <v>915</v>
      </c>
      <c r="L96" t="s">
        <v>1</v>
      </c>
      <c r="M96">
        <v>4.619</v>
      </c>
      <c r="N96">
        <v>-74.156</v>
      </c>
      <c r="O96" t="s">
        <v>1</v>
      </c>
      <c r="P96" t="s">
        <v>1</v>
      </c>
      <c r="Q96" t="s">
        <v>916</v>
      </c>
      <c r="R96" t="s">
        <v>159</v>
      </c>
    </row>
    <row r="97" spans="1:18" x14ac:dyDescent="0.25">
      <c r="A97" t="s">
        <v>917</v>
      </c>
      <c r="B97" t="s">
        <v>918</v>
      </c>
      <c r="C97" t="s">
        <v>40</v>
      </c>
      <c r="D97" t="s">
        <v>684</v>
      </c>
      <c r="E97" t="s">
        <v>111</v>
      </c>
      <c r="F97" t="s">
        <v>919</v>
      </c>
      <c r="G97" t="s">
        <v>920</v>
      </c>
      <c r="H97" t="s">
        <v>921</v>
      </c>
      <c r="I97" t="s">
        <v>1</v>
      </c>
      <c r="J97" t="s">
        <v>1</v>
      </c>
      <c r="K97" t="s">
        <v>922</v>
      </c>
      <c r="L97" t="s">
        <v>1</v>
      </c>
      <c r="M97">
        <v>4.6192</v>
      </c>
      <c r="N97">
        <v>-74.1612</v>
      </c>
      <c r="O97" t="s">
        <v>1</v>
      </c>
      <c r="P97" t="s">
        <v>1</v>
      </c>
      <c r="Q97" t="s">
        <v>923</v>
      </c>
      <c r="R97" t="s">
        <v>924</v>
      </c>
    </row>
    <row r="98" spans="1:18" x14ac:dyDescent="0.25">
      <c r="A98" t="s">
        <v>925</v>
      </c>
      <c r="B98" t="s">
        <v>926</v>
      </c>
      <c r="C98" t="s">
        <v>40</v>
      </c>
      <c r="D98" t="s">
        <v>684</v>
      </c>
      <c r="E98" t="s">
        <v>111</v>
      </c>
      <c r="F98" t="s">
        <v>919</v>
      </c>
      <c r="G98" t="s">
        <v>927</v>
      </c>
      <c r="H98" t="s">
        <v>928</v>
      </c>
      <c r="I98" t="s">
        <v>1</v>
      </c>
      <c r="J98" t="s">
        <v>1</v>
      </c>
      <c r="K98" t="s">
        <v>929</v>
      </c>
      <c r="L98" t="s">
        <v>1</v>
      </c>
      <c r="M98">
        <v>4.62</v>
      </c>
      <c r="N98">
        <v>-74.1596</v>
      </c>
      <c r="O98" t="s">
        <v>1</v>
      </c>
      <c r="P98" t="s">
        <v>1</v>
      </c>
      <c r="Q98" t="s">
        <v>930</v>
      </c>
      <c r="R98" t="s">
        <v>336</v>
      </c>
    </row>
    <row r="99" spans="1:18" x14ac:dyDescent="0.25">
      <c r="A99" t="s">
        <v>931</v>
      </c>
      <c r="B99" t="s">
        <v>932</v>
      </c>
      <c r="C99" t="s">
        <v>40</v>
      </c>
      <c r="D99" t="s">
        <v>667</v>
      </c>
      <c r="E99" t="s">
        <v>676</v>
      </c>
      <c r="F99" t="s">
        <v>919</v>
      </c>
      <c r="G99" t="s">
        <v>933</v>
      </c>
      <c r="H99" t="s">
        <v>934</v>
      </c>
      <c r="I99" t="s">
        <v>1</v>
      </c>
      <c r="J99" t="s">
        <v>1</v>
      </c>
      <c r="K99" t="s">
        <v>935</v>
      </c>
      <c r="L99" t="s">
        <v>1</v>
      </c>
      <c r="M99">
        <v>4.619</v>
      </c>
      <c r="N99">
        <v>-74.1606</v>
      </c>
      <c r="O99" t="s">
        <v>1</v>
      </c>
      <c r="P99" t="s">
        <v>1</v>
      </c>
      <c r="Q99" t="s">
        <v>936</v>
      </c>
      <c r="R99" t="s">
        <v>937</v>
      </c>
    </row>
    <row r="100" spans="1:18" x14ac:dyDescent="0.25">
      <c r="A100" t="s">
        <v>938</v>
      </c>
      <c r="B100" t="s">
        <v>939</v>
      </c>
      <c r="C100" t="s">
        <v>40</v>
      </c>
      <c r="D100" t="s">
        <v>684</v>
      </c>
      <c r="E100" t="s">
        <v>111</v>
      </c>
      <c r="F100" t="s">
        <v>142</v>
      </c>
      <c r="G100" t="s">
        <v>940</v>
      </c>
      <c r="H100" t="s">
        <v>941</v>
      </c>
      <c r="I100" t="s">
        <v>1</v>
      </c>
      <c r="J100" t="s">
        <v>1</v>
      </c>
      <c r="K100" t="s">
        <v>942</v>
      </c>
      <c r="L100" t="s">
        <v>1</v>
      </c>
      <c r="M100">
        <v>4.6378</v>
      </c>
      <c r="N100">
        <v>-74.1672</v>
      </c>
      <c r="O100" t="s">
        <v>1</v>
      </c>
      <c r="P100" t="s">
        <v>1</v>
      </c>
      <c r="Q100" t="s">
        <v>943</v>
      </c>
      <c r="R100" t="s">
        <v>354</v>
      </c>
    </row>
    <row r="101" spans="1:18" x14ac:dyDescent="0.25">
      <c r="A101" t="s">
        <v>944</v>
      </c>
      <c r="B101" t="s">
        <v>945</v>
      </c>
      <c r="C101" t="s">
        <v>40</v>
      </c>
      <c r="D101" t="s">
        <v>684</v>
      </c>
      <c r="E101" t="s">
        <v>111</v>
      </c>
      <c r="F101" t="s">
        <v>419</v>
      </c>
      <c r="G101" t="s">
        <v>946</v>
      </c>
      <c r="H101" t="s">
        <v>947</v>
      </c>
      <c r="I101" t="s">
        <v>1</v>
      </c>
      <c r="J101" t="s">
        <v>1</v>
      </c>
      <c r="K101" t="s">
        <v>942</v>
      </c>
      <c r="L101" t="s">
        <v>1</v>
      </c>
      <c r="M101">
        <v>4.613</v>
      </c>
      <c r="N101">
        <v>-74.157</v>
      </c>
      <c r="O101" t="s">
        <v>1</v>
      </c>
      <c r="P101" t="s">
        <v>1</v>
      </c>
      <c r="Q101" t="s">
        <v>948</v>
      </c>
      <c r="R101" t="s">
        <v>949</v>
      </c>
    </row>
    <row r="102" spans="1:18" x14ac:dyDescent="0.25">
      <c r="A102" t="s">
        <v>950</v>
      </c>
      <c r="B102" t="s">
        <v>951</v>
      </c>
      <c r="C102" t="s">
        <v>40</v>
      </c>
      <c r="D102" t="s">
        <v>706</v>
      </c>
      <c r="E102" t="s">
        <v>111</v>
      </c>
      <c r="F102" t="s">
        <v>952</v>
      </c>
      <c r="G102" t="s">
        <v>953</v>
      </c>
      <c r="H102" t="s">
        <v>954</v>
      </c>
      <c r="I102" t="s">
        <v>1</v>
      </c>
      <c r="J102" t="s">
        <v>1</v>
      </c>
      <c r="K102" t="s">
        <v>955</v>
      </c>
      <c r="L102" t="s">
        <v>1</v>
      </c>
      <c r="M102">
        <v>4.6112</v>
      </c>
      <c r="N102">
        <v>-74.1548</v>
      </c>
      <c r="O102" t="s">
        <v>1</v>
      </c>
      <c r="P102" t="s">
        <v>1</v>
      </c>
      <c r="Q102" t="s">
        <v>956</v>
      </c>
      <c r="R102" t="s">
        <v>957</v>
      </c>
    </row>
    <row r="103" spans="1:18" x14ac:dyDescent="0.25">
      <c r="A103" t="s">
        <v>958</v>
      </c>
      <c r="B103" t="s">
        <v>959</v>
      </c>
      <c r="C103" t="s">
        <v>40</v>
      </c>
      <c r="D103" t="s">
        <v>684</v>
      </c>
      <c r="E103" t="s">
        <v>676</v>
      </c>
      <c r="F103" t="s">
        <v>142</v>
      </c>
      <c r="G103" t="s">
        <v>960</v>
      </c>
      <c r="H103" t="s">
        <v>961</v>
      </c>
      <c r="I103" t="s">
        <v>1</v>
      </c>
      <c r="J103" t="s">
        <v>1</v>
      </c>
      <c r="K103" t="s">
        <v>962</v>
      </c>
      <c r="L103" t="s">
        <v>1</v>
      </c>
      <c r="M103">
        <v>4.6418</v>
      </c>
      <c r="N103">
        <v>-74.165</v>
      </c>
      <c r="O103" t="s">
        <v>1</v>
      </c>
      <c r="P103" t="s">
        <v>1</v>
      </c>
      <c r="Q103" t="s">
        <v>963</v>
      </c>
      <c r="R103" t="s">
        <v>964</v>
      </c>
    </row>
    <row r="104" spans="1:18" x14ac:dyDescent="0.25">
      <c r="A104" t="s">
        <v>965</v>
      </c>
      <c r="B104" t="s">
        <v>966</v>
      </c>
      <c r="C104" t="s">
        <v>40</v>
      </c>
      <c r="D104" t="s">
        <v>745</v>
      </c>
      <c r="E104" t="s">
        <v>676</v>
      </c>
      <c r="F104" t="s">
        <v>419</v>
      </c>
      <c r="G104" t="s">
        <v>967</v>
      </c>
      <c r="H104" t="s">
        <v>968</v>
      </c>
      <c r="I104" t="s">
        <v>1</v>
      </c>
      <c r="J104" t="s">
        <v>1</v>
      </c>
      <c r="K104" t="s">
        <v>969</v>
      </c>
      <c r="L104" t="s">
        <v>1</v>
      </c>
      <c r="M104">
        <v>4.645</v>
      </c>
      <c r="N104">
        <v>-74.152</v>
      </c>
      <c r="O104" t="s">
        <v>1</v>
      </c>
      <c r="P104" t="s">
        <v>1</v>
      </c>
      <c r="Q104" t="s">
        <v>970</v>
      </c>
      <c r="R104" t="s">
        <v>971</v>
      </c>
    </row>
    <row r="105" spans="1:18" x14ac:dyDescent="0.25">
      <c r="A105" t="s">
        <v>972</v>
      </c>
      <c r="B105" t="s">
        <v>973</v>
      </c>
      <c r="C105" t="s">
        <v>40</v>
      </c>
      <c r="D105" t="s">
        <v>715</v>
      </c>
      <c r="E105" t="s">
        <v>111</v>
      </c>
      <c r="F105" t="s">
        <v>402</v>
      </c>
      <c r="G105" t="s">
        <v>974</v>
      </c>
      <c r="H105" t="s">
        <v>975</v>
      </c>
      <c r="I105" t="s">
        <v>1</v>
      </c>
      <c r="J105" t="s">
        <v>1</v>
      </c>
      <c r="K105" t="s">
        <v>976</v>
      </c>
      <c r="L105" t="s">
        <v>1</v>
      </c>
      <c r="M105">
        <v>4.645</v>
      </c>
      <c r="N105">
        <v>-74.1555</v>
      </c>
      <c r="O105" t="s">
        <v>1</v>
      </c>
      <c r="P105" t="s">
        <v>1</v>
      </c>
      <c r="Q105" t="s">
        <v>977</v>
      </c>
      <c r="R105" t="s">
        <v>978</v>
      </c>
    </row>
    <row r="106" spans="1:18" x14ac:dyDescent="0.25">
      <c r="A106" t="s">
        <v>979</v>
      </c>
      <c r="B106" t="s">
        <v>980</v>
      </c>
      <c r="C106" t="s">
        <v>40</v>
      </c>
      <c r="D106" t="s">
        <v>715</v>
      </c>
      <c r="E106" t="s">
        <v>111</v>
      </c>
      <c r="F106" t="s">
        <v>402</v>
      </c>
      <c r="G106" t="s">
        <v>981</v>
      </c>
      <c r="H106" t="s">
        <v>982</v>
      </c>
      <c r="I106" t="s">
        <v>1</v>
      </c>
      <c r="J106" t="s">
        <v>1</v>
      </c>
      <c r="K106" t="s">
        <v>976</v>
      </c>
      <c r="L106" t="s">
        <v>1</v>
      </c>
      <c r="M106">
        <v>4.6426</v>
      </c>
      <c r="N106">
        <v>-74.156</v>
      </c>
      <c r="O106" t="s">
        <v>1</v>
      </c>
      <c r="P106" t="s">
        <v>1</v>
      </c>
      <c r="Q106" t="s">
        <v>983</v>
      </c>
      <c r="R106" t="s">
        <v>984</v>
      </c>
    </row>
    <row r="107" spans="1:18" x14ac:dyDescent="0.25">
      <c r="A107" t="s">
        <v>985</v>
      </c>
      <c r="B107" t="s">
        <v>986</v>
      </c>
      <c r="C107" t="s">
        <v>40</v>
      </c>
      <c r="D107" t="s">
        <v>715</v>
      </c>
      <c r="E107" t="s">
        <v>111</v>
      </c>
      <c r="F107" t="s">
        <v>411</v>
      </c>
      <c r="G107" t="s">
        <v>987</v>
      </c>
      <c r="H107" t="s">
        <v>988</v>
      </c>
      <c r="I107" t="s">
        <v>1</v>
      </c>
      <c r="J107" t="s">
        <v>1</v>
      </c>
      <c r="K107" t="s">
        <v>976</v>
      </c>
      <c r="L107" t="s">
        <v>1</v>
      </c>
      <c r="M107">
        <v>4.646</v>
      </c>
      <c r="N107">
        <v>-74.1535</v>
      </c>
      <c r="O107" t="s">
        <v>1</v>
      </c>
      <c r="P107" t="s">
        <v>1</v>
      </c>
      <c r="Q107" t="s">
        <v>989</v>
      </c>
      <c r="R107" t="s">
        <v>990</v>
      </c>
    </row>
    <row r="108" spans="1:18" x14ac:dyDescent="0.25">
      <c r="A108" t="s">
        <v>991</v>
      </c>
      <c r="B108" t="s">
        <v>992</v>
      </c>
      <c r="C108" t="s">
        <v>40</v>
      </c>
      <c r="D108" t="s">
        <v>722</v>
      </c>
      <c r="E108" t="s">
        <v>111</v>
      </c>
      <c r="F108" t="s">
        <v>419</v>
      </c>
      <c r="G108" t="s">
        <v>993</v>
      </c>
      <c r="H108" t="s">
        <v>994</v>
      </c>
      <c r="I108" t="s">
        <v>1</v>
      </c>
      <c r="J108" t="s">
        <v>1</v>
      </c>
      <c r="K108" t="s">
        <v>942</v>
      </c>
      <c r="L108" t="s">
        <v>1</v>
      </c>
      <c r="M108">
        <v>4.6448</v>
      </c>
      <c r="N108">
        <v>-74.1505</v>
      </c>
      <c r="O108" t="s">
        <v>1</v>
      </c>
      <c r="P108" t="s">
        <v>1</v>
      </c>
      <c r="Q108" t="s">
        <v>995</v>
      </c>
      <c r="R108" t="s">
        <v>996</v>
      </c>
    </row>
    <row r="109" spans="1:18" x14ac:dyDescent="0.25">
      <c r="A109" t="s">
        <v>997</v>
      </c>
      <c r="B109" t="s">
        <v>998</v>
      </c>
      <c r="C109" t="s">
        <v>40</v>
      </c>
      <c r="D109" t="s">
        <v>715</v>
      </c>
      <c r="E109" t="s">
        <v>111</v>
      </c>
      <c r="F109" t="s">
        <v>999</v>
      </c>
      <c r="G109" t="s">
        <v>1000</v>
      </c>
      <c r="H109" t="s">
        <v>1001</v>
      </c>
      <c r="I109" t="s">
        <v>1</v>
      </c>
      <c r="J109" t="s">
        <v>1</v>
      </c>
      <c r="K109" t="s">
        <v>942</v>
      </c>
      <c r="L109" t="s">
        <v>1</v>
      </c>
      <c r="M109">
        <v>4.6402</v>
      </c>
      <c r="N109">
        <v>-74.164</v>
      </c>
      <c r="O109" t="s">
        <v>1</v>
      </c>
      <c r="P109" t="s">
        <v>1</v>
      </c>
      <c r="Q109" t="s">
        <v>1002</v>
      </c>
      <c r="R109" t="s">
        <v>1003</v>
      </c>
    </row>
    <row r="110" spans="1:18" x14ac:dyDescent="0.25">
      <c r="A110" t="s">
        <v>1004</v>
      </c>
      <c r="B110" t="s">
        <v>1005</v>
      </c>
      <c r="C110" t="s">
        <v>40</v>
      </c>
      <c r="D110" t="s">
        <v>715</v>
      </c>
      <c r="E110" t="s">
        <v>676</v>
      </c>
      <c r="F110" t="s">
        <v>1006</v>
      </c>
      <c r="G110" t="s">
        <v>1007</v>
      </c>
      <c r="H110" t="s">
        <v>1008</v>
      </c>
      <c r="I110" t="s">
        <v>1</v>
      </c>
      <c r="J110" t="s">
        <v>1</v>
      </c>
      <c r="K110" t="s">
        <v>1009</v>
      </c>
      <c r="L110" t="s">
        <v>1</v>
      </c>
      <c r="M110">
        <v>4.6424</v>
      </c>
      <c r="N110">
        <v>-74.1575</v>
      </c>
      <c r="O110" t="s">
        <v>1</v>
      </c>
      <c r="P110" t="s">
        <v>1</v>
      </c>
      <c r="Q110" t="s">
        <v>1010</v>
      </c>
      <c r="R110" t="s">
        <v>1011</v>
      </c>
    </row>
    <row r="111" spans="1:18" x14ac:dyDescent="0.25">
      <c r="A111" t="s">
        <v>1012</v>
      </c>
      <c r="B111" t="s">
        <v>1013</v>
      </c>
      <c r="C111" t="s">
        <v>40</v>
      </c>
      <c r="D111" t="s">
        <v>675</v>
      </c>
      <c r="E111" t="s">
        <v>111</v>
      </c>
      <c r="F111" t="s">
        <v>1014</v>
      </c>
      <c r="G111" t="s">
        <v>1015</v>
      </c>
      <c r="H111" t="s">
        <v>1016</v>
      </c>
      <c r="I111" t="s">
        <v>1</v>
      </c>
      <c r="J111" t="s">
        <v>1</v>
      </c>
      <c r="K111" t="s">
        <v>1017</v>
      </c>
      <c r="L111" t="s">
        <v>1</v>
      </c>
      <c r="M111">
        <v>4.6324</v>
      </c>
      <c r="N111">
        <v>-74.156</v>
      </c>
      <c r="O111" t="s">
        <v>1</v>
      </c>
      <c r="P111" t="s">
        <v>1</v>
      </c>
      <c r="Q111" t="s">
        <v>1018</v>
      </c>
      <c r="R111" t="s">
        <v>459</v>
      </c>
    </row>
    <row r="112" spans="1:18" x14ac:dyDescent="0.25">
      <c r="A112" t="s">
        <v>1019</v>
      </c>
      <c r="B112" t="s">
        <v>1020</v>
      </c>
      <c r="C112" t="s">
        <v>40</v>
      </c>
      <c r="D112" t="s">
        <v>675</v>
      </c>
      <c r="E112" t="s">
        <v>676</v>
      </c>
      <c r="F112" t="s">
        <v>1021</v>
      </c>
      <c r="G112" t="s">
        <v>1022</v>
      </c>
      <c r="H112" t="s">
        <v>1023</v>
      </c>
      <c r="I112" t="s">
        <v>1</v>
      </c>
      <c r="J112" t="s">
        <v>1</v>
      </c>
      <c r="K112" t="s">
        <v>1024</v>
      </c>
      <c r="L112" t="s">
        <v>1</v>
      </c>
      <c r="M112">
        <v>4.6345</v>
      </c>
      <c r="N112">
        <v>-74.1535</v>
      </c>
      <c r="O112" t="s">
        <v>1</v>
      </c>
      <c r="P112" t="s">
        <v>1</v>
      </c>
      <c r="Q112" t="s">
        <v>1025</v>
      </c>
      <c r="R112" t="s">
        <v>236</v>
      </c>
    </row>
    <row r="113" spans="1:18" x14ac:dyDescent="0.25">
      <c r="A113" t="s">
        <v>1026</v>
      </c>
      <c r="B113" t="s">
        <v>1027</v>
      </c>
      <c r="C113" t="s">
        <v>40</v>
      </c>
      <c r="D113" t="s">
        <v>675</v>
      </c>
      <c r="E113" t="s">
        <v>111</v>
      </c>
      <c r="F113" t="s">
        <v>471</v>
      </c>
      <c r="G113" t="s">
        <v>1028</v>
      </c>
      <c r="H113" t="s">
        <v>1029</v>
      </c>
      <c r="I113" t="s">
        <v>1</v>
      </c>
      <c r="J113" t="s">
        <v>1</v>
      </c>
      <c r="K113" t="s">
        <v>1030</v>
      </c>
      <c r="L113" t="s">
        <v>1</v>
      </c>
      <c r="M113">
        <v>4.6286</v>
      </c>
      <c r="N113">
        <v>-74.1722</v>
      </c>
      <c r="O113" t="s">
        <v>1</v>
      </c>
      <c r="P113" t="s">
        <v>1</v>
      </c>
      <c r="Q113" t="s">
        <v>1031</v>
      </c>
      <c r="R113" t="s">
        <v>1032</v>
      </c>
    </row>
    <row r="114" spans="1:18" x14ac:dyDescent="0.25">
      <c r="A114" t="s">
        <v>1033</v>
      </c>
      <c r="B114" t="s">
        <v>1034</v>
      </c>
      <c r="C114" t="s">
        <v>40</v>
      </c>
      <c r="D114" t="s">
        <v>675</v>
      </c>
      <c r="E114" t="s">
        <v>111</v>
      </c>
      <c r="F114" t="s">
        <v>1035</v>
      </c>
      <c r="G114" t="s">
        <v>1036</v>
      </c>
      <c r="H114" t="s">
        <v>1037</v>
      </c>
      <c r="I114" t="s">
        <v>1</v>
      </c>
      <c r="J114" t="s">
        <v>1</v>
      </c>
      <c r="K114" t="s">
        <v>1038</v>
      </c>
      <c r="L114" t="s">
        <v>1</v>
      </c>
      <c r="M114">
        <v>4.6318</v>
      </c>
      <c r="N114">
        <v>-74.145</v>
      </c>
      <c r="O114" t="s">
        <v>1</v>
      </c>
      <c r="P114" t="s">
        <v>1</v>
      </c>
      <c r="Q114" t="s">
        <v>1039</v>
      </c>
      <c r="R114" t="s">
        <v>1040</v>
      </c>
    </row>
    <row r="115" spans="1:18" x14ac:dyDescent="0.25">
      <c r="A115" t="s">
        <v>1041</v>
      </c>
      <c r="B115" t="s">
        <v>1042</v>
      </c>
      <c r="C115" t="s">
        <v>40</v>
      </c>
      <c r="D115" t="s">
        <v>675</v>
      </c>
      <c r="E115" t="s">
        <v>111</v>
      </c>
      <c r="F115" t="s">
        <v>1043</v>
      </c>
      <c r="G115" t="s">
        <v>1044</v>
      </c>
      <c r="H115" t="s">
        <v>1045</v>
      </c>
      <c r="I115" t="s">
        <v>1</v>
      </c>
      <c r="J115" t="s">
        <v>1</v>
      </c>
      <c r="K115" t="s">
        <v>1046</v>
      </c>
      <c r="L115" t="s">
        <v>1</v>
      </c>
      <c r="M115">
        <v>4.6402</v>
      </c>
      <c r="N115">
        <v>-74.1678</v>
      </c>
      <c r="O115" t="s">
        <v>1</v>
      </c>
      <c r="P115" t="s">
        <v>1</v>
      </c>
      <c r="Q115" t="s">
        <v>1047</v>
      </c>
      <c r="R115" t="s">
        <v>1048</v>
      </c>
    </row>
    <row r="116" spans="1:18" x14ac:dyDescent="0.25">
      <c r="A116" t="s">
        <v>1049</v>
      </c>
      <c r="B116" t="s">
        <v>1050</v>
      </c>
      <c r="C116" t="s">
        <v>40</v>
      </c>
      <c r="D116" t="s">
        <v>684</v>
      </c>
      <c r="E116" t="s">
        <v>111</v>
      </c>
      <c r="F116" t="s">
        <v>1051</v>
      </c>
      <c r="G116" t="s">
        <v>1052</v>
      </c>
      <c r="H116" t="s">
        <v>1053</v>
      </c>
      <c r="I116" t="s">
        <v>1</v>
      </c>
      <c r="J116" t="s">
        <v>1</v>
      </c>
      <c r="K116" t="s">
        <v>1054</v>
      </c>
      <c r="L116" t="s">
        <v>1</v>
      </c>
      <c r="M116">
        <v>4.6283</v>
      </c>
      <c r="N116">
        <v>-74.169</v>
      </c>
      <c r="O116" t="s">
        <v>1</v>
      </c>
      <c r="P116" t="s">
        <v>1</v>
      </c>
      <c r="Q116" t="s">
        <v>1055</v>
      </c>
      <c r="R116" t="s">
        <v>1056</v>
      </c>
    </row>
    <row r="117" spans="1:18" x14ac:dyDescent="0.25">
      <c r="A117" t="s">
        <v>1057</v>
      </c>
      <c r="B117" t="s">
        <v>1058</v>
      </c>
      <c r="C117" t="s">
        <v>40</v>
      </c>
      <c r="D117" t="s">
        <v>797</v>
      </c>
      <c r="E117" t="s">
        <v>111</v>
      </c>
      <c r="F117" t="s">
        <v>1059</v>
      </c>
      <c r="G117" t="s">
        <v>1060</v>
      </c>
      <c r="H117" t="s">
        <v>1061</v>
      </c>
      <c r="I117" t="s">
        <v>1</v>
      </c>
      <c r="J117" t="s">
        <v>1</v>
      </c>
      <c r="K117" t="s">
        <v>1062</v>
      </c>
      <c r="L117" t="s">
        <v>1</v>
      </c>
      <c r="M117">
        <v>4.639</v>
      </c>
      <c r="N117">
        <v>-74.1655</v>
      </c>
      <c r="O117" t="s">
        <v>1</v>
      </c>
      <c r="P117" t="s">
        <v>1</v>
      </c>
      <c r="Q117" t="s">
        <v>1063</v>
      </c>
      <c r="R117" t="s">
        <v>539</v>
      </c>
    </row>
    <row r="118" spans="1:18" x14ac:dyDescent="0.25">
      <c r="A118" t="s">
        <v>1064</v>
      </c>
      <c r="B118" t="s">
        <v>1065</v>
      </c>
      <c r="C118" t="s">
        <v>40</v>
      </c>
      <c r="D118" t="s">
        <v>675</v>
      </c>
      <c r="E118" t="s">
        <v>111</v>
      </c>
      <c r="F118" t="s">
        <v>1066</v>
      </c>
      <c r="G118" t="s">
        <v>1067</v>
      </c>
      <c r="H118" t="s">
        <v>1068</v>
      </c>
      <c r="I118" t="s">
        <v>1</v>
      </c>
      <c r="J118" t="s">
        <v>1</v>
      </c>
      <c r="K118" t="s">
        <v>1069</v>
      </c>
      <c r="L118" t="s">
        <v>1</v>
      </c>
      <c r="M118">
        <v>4.6335</v>
      </c>
      <c r="N118">
        <v>-74.1705</v>
      </c>
      <c r="O118" t="s">
        <v>1</v>
      </c>
      <c r="P118" t="s">
        <v>1</v>
      </c>
      <c r="Q118" t="s">
        <v>1070</v>
      </c>
      <c r="R118" t="s">
        <v>75</v>
      </c>
    </row>
    <row r="119" spans="1:18" x14ac:dyDescent="0.25">
      <c r="A119" t="s">
        <v>1071</v>
      </c>
      <c r="B119" t="s">
        <v>1072</v>
      </c>
      <c r="C119" t="s">
        <v>40</v>
      </c>
      <c r="D119" t="s">
        <v>675</v>
      </c>
      <c r="E119" t="s">
        <v>111</v>
      </c>
      <c r="F119" t="s">
        <v>1073</v>
      </c>
      <c r="G119" t="s">
        <v>1074</v>
      </c>
      <c r="H119" t="s">
        <v>1075</v>
      </c>
      <c r="I119" t="s">
        <v>1</v>
      </c>
      <c r="J119" t="s">
        <v>1</v>
      </c>
      <c r="K119" t="s">
        <v>1076</v>
      </c>
      <c r="L119" t="s">
        <v>1</v>
      </c>
      <c r="M119">
        <v>4.621</v>
      </c>
      <c r="N119">
        <v>-74.1368</v>
      </c>
      <c r="O119" t="s">
        <v>1</v>
      </c>
      <c r="P119" t="s">
        <v>1</v>
      </c>
      <c r="Q119" t="s">
        <v>1077</v>
      </c>
      <c r="R119" t="s">
        <v>530</v>
      </c>
    </row>
    <row r="120" spans="1:18" x14ac:dyDescent="0.25">
      <c r="A120" t="s">
        <v>1078</v>
      </c>
      <c r="B120" t="s">
        <v>1079</v>
      </c>
      <c r="C120" t="s">
        <v>40</v>
      </c>
      <c r="D120" t="s">
        <v>675</v>
      </c>
      <c r="E120" t="s">
        <v>111</v>
      </c>
      <c r="F120" t="s">
        <v>1080</v>
      </c>
      <c r="G120" t="s">
        <v>1081</v>
      </c>
      <c r="H120" t="s">
        <v>1082</v>
      </c>
      <c r="I120" t="s">
        <v>1</v>
      </c>
      <c r="J120" t="s">
        <v>1</v>
      </c>
      <c r="K120" t="s">
        <v>1083</v>
      </c>
      <c r="L120" t="s">
        <v>1</v>
      </c>
      <c r="M120">
        <v>4.6176</v>
      </c>
      <c r="N120">
        <v>-74.1528</v>
      </c>
      <c r="O120" t="s">
        <v>1</v>
      </c>
      <c r="P120" t="s">
        <v>1</v>
      </c>
      <c r="Q120" t="s">
        <v>1084</v>
      </c>
      <c r="R120" t="s">
        <v>1085</v>
      </c>
    </row>
    <row r="121" spans="1:18" x14ac:dyDescent="0.25">
      <c r="A121" t="s">
        <v>1086</v>
      </c>
      <c r="B121" t="s">
        <v>1087</v>
      </c>
      <c r="C121" t="s">
        <v>40</v>
      </c>
      <c r="D121" t="s">
        <v>684</v>
      </c>
      <c r="E121" t="s">
        <v>111</v>
      </c>
      <c r="F121" t="s">
        <v>542</v>
      </c>
      <c r="G121" t="s">
        <v>1088</v>
      </c>
      <c r="H121" t="s">
        <v>1089</v>
      </c>
      <c r="I121" t="s">
        <v>1</v>
      </c>
      <c r="J121" t="s">
        <v>1</v>
      </c>
      <c r="K121" t="s">
        <v>1090</v>
      </c>
      <c r="L121" t="s">
        <v>1</v>
      </c>
      <c r="M121">
        <v>4.629</v>
      </c>
      <c r="N121">
        <v>-74.16</v>
      </c>
      <c r="O121" t="s">
        <v>1</v>
      </c>
      <c r="P121" t="s">
        <v>1</v>
      </c>
      <c r="Q121" t="s">
        <v>1091</v>
      </c>
      <c r="R121" t="s">
        <v>1092</v>
      </c>
    </row>
    <row r="122" spans="1:18" x14ac:dyDescent="0.25">
      <c r="A122" t="s">
        <v>1093</v>
      </c>
      <c r="B122" t="s">
        <v>1094</v>
      </c>
      <c r="C122" t="s">
        <v>40</v>
      </c>
      <c r="D122" t="s">
        <v>684</v>
      </c>
      <c r="E122" t="s">
        <v>111</v>
      </c>
      <c r="F122" t="s">
        <v>1095</v>
      </c>
      <c r="G122" t="s">
        <v>1096</v>
      </c>
      <c r="H122" t="s">
        <v>1097</v>
      </c>
      <c r="I122" t="s">
        <v>1</v>
      </c>
      <c r="J122" t="s">
        <v>1</v>
      </c>
      <c r="K122" t="s">
        <v>1098</v>
      </c>
      <c r="L122" t="s">
        <v>1</v>
      </c>
      <c r="M122">
        <v>4.63</v>
      </c>
      <c r="N122">
        <v>-74.157</v>
      </c>
      <c r="O122" t="s">
        <v>1</v>
      </c>
      <c r="P122" t="s">
        <v>1</v>
      </c>
      <c r="Q122" t="s">
        <v>1099</v>
      </c>
      <c r="R122" t="s">
        <v>1100</v>
      </c>
    </row>
    <row r="123" spans="1:18" x14ac:dyDescent="0.25">
      <c r="A123" t="s">
        <v>1101</v>
      </c>
      <c r="B123" t="s">
        <v>1102</v>
      </c>
      <c r="C123" t="s">
        <v>40</v>
      </c>
      <c r="D123" t="s">
        <v>675</v>
      </c>
      <c r="E123" t="s">
        <v>111</v>
      </c>
      <c r="F123" t="s">
        <v>650</v>
      </c>
      <c r="G123" t="s">
        <v>1103</v>
      </c>
      <c r="H123" t="s">
        <v>1104</v>
      </c>
      <c r="I123" t="s">
        <v>1</v>
      </c>
      <c r="J123" t="s">
        <v>1</v>
      </c>
      <c r="K123" t="s">
        <v>1105</v>
      </c>
      <c r="L123" t="s">
        <v>1</v>
      </c>
      <c r="M123">
        <v>4.6158</v>
      </c>
      <c r="N123">
        <v>-74.153</v>
      </c>
      <c r="O123" t="s">
        <v>1</v>
      </c>
      <c r="P123" t="s">
        <v>1</v>
      </c>
      <c r="Q123" t="s">
        <v>1106</v>
      </c>
      <c r="R123" t="s">
        <v>1107</v>
      </c>
    </row>
    <row r="124" spans="1:18" x14ac:dyDescent="0.25">
      <c r="A124" t="s">
        <v>1108</v>
      </c>
      <c r="B124" t="s">
        <v>1109</v>
      </c>
      <c r="C124" t="s">
        <v>40</v>
      </c>
      <c r="D124" t="s">
        <v>675</v>
      </c>
      <c r="E124" t="s">
        <v>111</v>
      </c>
      <c r="F124" t="s">
        <v>650</v>
      </c>
      <c r="G124" t="s">
        <v>1110</v>
      </c>
      <c r="H124" t="s">
        <v>1111</v>
      </c>
      <c r="I124" t="s">
        <v>1</v>
      </c>
      <c r="J124" t="s">
        <v>1</v>
      </c>
      <c r="K124" t="s">
        <v>1112</v>
      </c>
      <c r="L124" t="s">
        <v>1</v>
      </c>
      <c r="M124">
        <v>4.617</v>
      </c>
      <c r="N124">
        <v>-74.1536</v>
      </c>
      <c r="O124" t="s">
        <v>1</v>
      </c>
      <c r="P124" t="s">
        <v>1</v>
      </c>
      <c r="Q124" t="s">
        <v>1113</v>
      </c>
      <c r="R124" t="s">
        <v>1114</v>
      </c>
    </row>
    <row r="125" spans="1:18" x14ac:dyDescent="0.25">
      <c r="A125" t="s">
        <v>1115</v>
      </c>
      <c r="B125" t="s">
        <v>1116</v>
      </c>
      <c r="C125" t="s">
        <v>40</v>
      </c>
      <c r="D125" t="s">
        <v>745</v>
      </c>
      <c r="E125" t="s">
        <v>111</v>
      </c>
      <c r="F125" t="s">
        <v>1117</v>
      </c>
      <c r="G125" t="s">
        <v>1118</v>
      </c>
      <c r="H125" t="s">
        <v>1119</v>
      </c>
      <c r="I125" t="s">
        <v>1</v>
      </c>
      <c r="J125" t="s">
        <v>1</v>
      </c>
      <c r="K125" t="s">
        <v>955</v>
      </c>
      <c r="L125" t="s">
        <v>1</v>
      </c>
      <c r="M125">
        <v>4.6245</v>
      </c>
      <c r="N125">
        <v>-74.1448</v>
      </c>
      <c r="O125" t="s">
        <v>1</v>
      </c>
      <c r="P125" t="s">
        <v>1</v>
      </c>
      <c r="Q125" t="s">
        <v>1120</v>
      </c>
      <c r="R125" t="s">
        <v>1121</v>
      </c>
    </row>
    <row r="126" spans="1:18" x14ac:dyDescent="0.25">
      <c r="A126" t="s">
        <v>1122</v>
      </c>
      <c r="B126" t="s">
        <v>1123</v>
      </c>
      <c r="C126" t="s">
        <v>40</v>
      </c>
      <c r="D126" t="s">
        <v>745</v>
      </c>
      <c r="E126" t="s">
        <v>111</v>
      </c>
      <c r="F126" t="s">
        <v>1124</v>
      </c>
      <c r="G126" t="s">
        <v>1125</v>
      </c>
      <c r="H126" t="s">
        <v>1126</v>
      </c>
      <c r="I126" t="s">
        <v>1</v>
      </c>
      <c r="J126" t="s">
        <v>1</v>
      </c>
      <c r="K126" t="s">
        <v>1127</v>
      </c>
      <c r="L126" t="s">
        <v>1</v>
      </c>
      <c r="M126">
        <v>4.6214</v>
      </c>
      <c r="N126">
        <v>-74.1446</v>
      </c>
      <c r="O126" t="s">
        <v>1</v>
      </c>
      <c r="P126" t="s">
        <v>1</v>
      </c>
      <c r="Q126" t="s">
        <v>1128</v>
      </c>
      <c r="R126" t="s">
        <v>575</v>
      </c>
    </row>
    <row r="127" spans="1:18" x14ac:dyDescent="0.25">
      <c r="A127" t="s">
        <v>1129</v>
      </c>
      <c r="B127" t="s">
        <v>1130</v>
      </c>
      <c r="C127" t="s">
        <v>40</v>
      </c>
      <c r="D127" t="s">
        <v>745</v>
      </c>
      <c r="E127" t="s">
        <v>111</v>
      </c>
      <c r="F127" t="s">
        <v>1131</v>
      </c>
      <c r="G127" t="s">
        <v>1132</v>
      </c>
      <c r="H127" t="s">
        <v>1133</v>
      </c>
      <c r="I127" t="s">
        <v>1</v>
      </c>
      <c r="J127" t="s">
        <v>1</v>
      </c>
      <c r="K127" t="s">
        <v>1134</v>
      </c>
      <c r="L127" t="s">
        <v>1</v>
      </c>
      <c r="M127">
        <v>4.6305</v>
      </c>
      <c r="N127">
        <v>-74.1336</v>
      </c>
      <c r="O127" t="s">
        <v>1</v>
      </c>
      <c r="P127" t="s">
        <v>1</v>
      </c>
      <c r="Q127" t="s">
        <v>1135</v>
      </c>
      <c r="R127" t="s">
        <v>70</v>
      </c>
    </row>
    <row r="128" spans="1:18" x14ac:dyDescent="0.25">
      <c r="A128" t="s">
        <v>1136</v>
      </c>
      <c r="B128" t="s">
        <v>1137</v>
      </c>
      <c r="C128" t="s">
        <v>40</v>
      </c>
      <c r="D128" t="s">
        <v>745</v>
      </c>
      <c r="E128" t="s">
        <v>111</v>
      </c>
      <c r="F128" t="s">
        <v>1138</v>
      </c>
      <c r="G128" t="s">
        <v>1139</v>
      </c>
      <c r="H128" t="s">
        <v>1140</v>
      </c>
      <c r="I128" t="s">
        <v>1</v>
      </c>
      <c r="J128" t="s">
        <v>1</v>
      </c>
      <c r="K128" t="s">
        <v>1141</v>
      </c>
      <c r="L128" t="s">
        <v>1</v>
      </c>
      <c r="M128">
        <v>4.613</v>
      </c>
      <c r="N128">
        <v>-74.1608</v>
      </c>
      <c r="O128" t="s">
        <v>1</v>
      </c>
      <c r="P128" t="s">
        <v>1</v>
      </c>
      <c r="Q128" t="s">
        <v>1142</v>
      </c>
      <c r="R128" t="s">
        <v>1143</v>
      </c>
    </row>
    <row r="129" spans="1:18" x14ac:dyDescent="0.25">
      <c r="A129" t="s">
        <v>1144</v>
      </c>
      <c r="B129" t="s">
        <v>1145</v>
      </c>
      <c r="C129" t="s">
        <v>40</v>
      </c>
      <c r="D129" t="s">
        <v>745</v>
      </c>
      <c r="E129" t="s">
        <v>111</v>
      </c>
      <c r="F129" t="s">
        <v>1146</v>
      </c>
      <c r="G129" t="s">
        <v>1147</v>
      </c>
      <c r="H129" t="s">
        <v>1148</v>
      </c>
      <c r="I129" t="s">
        <v>1</v>
      </c>
      <c r="J129" t="s">
        <v>1</v>
      </c>
      <c r="K129" t="s">
        <v>1149</v>
      </c>
      <c r="L129" t="s">
        <v>1</v>
      </c>
      <c r="M129">
        <v>4.6118</v>
      </c>
      <c r="N129">
        <v>-74.159</v>
      </c>
      <c r="O129" t="s">
        <v>1</v>
      </c>
      <c r="P129" t="s">
        <v>1</v>
      </c>
      <c r="Q129" t="s">
        <v>1150</v>
      </c>
      <c r="R129" t="s">
        <v>1151</v>
      </c>
    </row>
    <row r="130" spans="1:18" x14ac:dyDescent="0.25">
      <c r="A130" t="s">
        <v>1152</v>
      </c>
      <c r="B130" t="s">
        <v>1153</v>
      </c>
      <c r="C130" t="s">
        <v>40</v>
      </c>
      <c r="D130" t="s">
        <v>745</v>
      </c>
      <c r="E130" t="s">
        <v>111</v>
      </c>
      <c r="F130" t="s">
        <v>707</v>
      </c>
      <c r="G130" t="s">
        <v>1154</v>
      </c>
      <c r="H130" t="s">
        <v>1155</v>
      </c>
      <c r="I130" t="s">
        <v>1</v>
      </c>
      <c r="J130" t="s">
        <v>1</v>
      </c>
      <c r="K130" t="s">
        <v>1156</v>
      </c>
      <c r="L130" t="s">
        <v>1</v>
      </c>
      <c r="M130">
        <v>4.6236</v>
      </c>
      <c r="N130">
        <v>-74.1602</v>
      </c>
      <c r="O130" t="s">
        <v>1</v>
      </c>
      <c r="P130" t="s">
        <v>1</v>
      </c>
      <c r="Q130" t="s">
        <v>1157</v>
      </c>
      <c r="R130" t="s">
        <v>80</v>
      </c>
    </row>
    <row r="131" spans="1:18" x14ac:dyDescent="0.25">
      <c r="A131" t="s">
        <v>1158</v>
      </c>
      <c r="B131" t="s">
        <v>1159</v>
      </c>
      <c r="C131" t="s">
        <v>40</v>
      </c>
      <c r="D131" t="s">
        <v>745</v>
      </c>
      <c r="E131" t="s">
        <v>111</v>
      </c>
      <c r="F131" t="s">
        <v>1160</v>
      </c>
      <c r="G131" t="s">
        <v>1161</v>
      </c>
      <c r="H131" t="s">
        <v>1162</v>
      </c>
      <c r="I131" t="s">
        <v>1</v>
      </c>
      <c r="J131" t="s">
        <v>1</v>
      </c>
      <c r="K131" t="s">
        <v>1163</v>
      </c>
      <c r="L131" t="s">
        <v>1</v>
      </c>
      <c r="M131">
        <v>4.6175</v>
      </c>
      <c r="N131">
        <v>-74.157</v>
      </c>
      <c r="O131" t="s">
        <v>1</v>
      </c>
      <c r="P131" t="s">
        <v>1</v>
      </c>
      <c r="Q131" t="s">
        <v>1164</v>
      </c>
      <c r="R131" t="s">
        <v>1165</v>
      </c>
    </row>
    <row r="132" spans="1:18" x14ac:dyDescent="0.25">
      <c r="A132" t="s">
        <v>1166</v>
      </c>
      <c r="B132" t="s">
        <v>1167</v>
      </c>
      <c r="C132" t="s">
        <v>40</v>
      </c>
      <c r="D132" t="s">
        <v>745</v>
      </c>
      <c r="E132" t="s">
        <v>111</v>
      </c>
      <c r="F132" t="s">
        <v>613</v>
      </c>
      <c r="G132" t="s">
        <v>1168</v>
      </c>
      <c r="H132" t="s">
        <v>1169</v>
      </c>
      <c r="I132" t="s">
        <v>1</v>
      </c>
      <c r="J132" t="s">
        <v>1</v>
      </c>
      <c r="K132" t="s">
        <v>1170</v>
      </c>
      <c r="L132" t="s">
        <v>1</v>
      </c>
      <c r="M132">
        <v>4.6415</v>
      </c>
      <c r="N132">
        <v>-74.1595</v>
      </c>
      <c r="O132" t="s">
        <v>1</v>
      </c>
      <c r="P132" t="s">
        <v>1</v>
      </c>
      <c r="Q132" t="s">
        <v>1171</v>
      </c>
      <c r="R132" t="s">
        <v>1172</v>
      </c>
    </row>
    <row r="133" spans="1:18" x14ac:dyDescent="0.25">
      <c r="A133" t="s">
        <v>1173</v>
      </c>
      <c r="B133" t="s">
        <v>1174</v>
      </c>
      <c r="C133" t="s">
        <v>40</v>
      </c>
      <c r="D133" t="s">
        <v>745</v>
      </c>
      <c r="E133" t="s">
        <v>111</v>
      </c>
      <c r="F133" t="s">
        <v>1175</v>
      </c>
      <c r="G133" t="s">
        <v>1176</v>
      </c>
      <c r="H133" t="s">
        <v>1177</v>
      </c>
      <c r="I133" t="s">
        <v>1</v>
      </c>
      <c r="J133" t="s">
        <v>1</v>
      </c>
      <c r="K133" t="s">
        <v>1178</v>
      </c>
      <c r="L133" t="s">
        <v>1</v>
      </c>
      <c r="M133">
        <v>4.6455</v>
      </c>
      <c r="N133">
        <v>-74.1585</v>
      </c>
      <c r="O133" t="s">
        <v>1</v>
      </c>
      <c r="P133" t="s">
        <v>1</v>
      </c>
      <c r="Q133" t="s">
        <v>1179</v>
      </c>
      <c r="R133" t="s">
        <v>225</v>
      </c>
    </row>
    <row r="134" spans="1:18" x14ac:dyDescent="0.25">
      <c r="A134" t="s">
        <v>1180</v>
      </c>
      <c r="B134" t="s">
        <v>1181</v>
      </c>
      <c r="C134" t="s">
        <v>40</v>
      </c>
      <c r="D134" t="s">
        <v>745</v>
      </c>
      <c r="E134" t="s">
        <v>676</v>
      </c>
      <c r="F134" t="s">
        <v>1182</v>
      </c>
      <c r="G134" t="s">
        <v>1183</v>
      </c>
      <c r="H134" t="s">
        <v>1184</v>
      </c>
      <c r="I134" t="s">
        <v>1</v>
      </c>
      <c r="J134" t="s">
        <v>1</v>
      </c>
      <c r="K134" t="s">
        <v>1185</v>
      </c>
      <c r="L134" t="s">
        <v>1</v>
      </c>
      <c r="M134">
        <v>4.6345</v>
      </c>
      <c r="N134">
        <v>-74.1478</v>
      </c>
      <c r="O134" t="s">
        <v>1</v>
      </c>
      <c r="P134" t="s">
        <v>1</v>
      </c>
      <c r="Q134" t="s">
        <v>1186</v>
      </c>
      <c r="R134" t="s">
        <v>636</v>
      </c>
    </row>
    <row r="135" spans="1:18" x14ac:dyDescent="0.25">
      <c r="A135" t="s">
        <v>1187</v>
      </c>
      <c r="B135" t="s">
        <v>1188</v>
      </c>
      <c r="C135" t="s">
        <v>40</v>
      </c>
      <c r="D135" t="s">
        <v>745</v>
      </c>
      <c r="E135" t="s">
        <v>111</v>
      </c>
      <c r="F135" t="s">
        <v>1189</v>
      </c>
      <c r="G135" t="s">
        <v>1190</v>
      </c>
      <c r="H135" t="s">
        <v>1191</v>
      </c>
      <c r="I135" t="s">
        <v>1</v>
      </c>
      <c r="J135" t="s">
        <v>1</v>
      </c>
      <c r="K135" t="s">
        <v>1192</v>
      </c>
      <c r="L135" t="s">
        <v>1</v>
      </c>
      <c r="M135">
        <v>4.642</v>
      </c>
      <c r="N135">
        <v>-74.1798</v>
      </c>
      <c r="O135" t="s">
        <v>1</v>
      </c>
      <c r="P135" t="s">
        <v>1</v>
      </c>
      <c r="Q135" t="s">
        <v>1193</v>
      </c>
      <c r="R135" t="s">
        <v>1194</v>
      </c>
    </row>
    <row r="136" spans="1:18" x14ac:dyDescent="0.25">
      <c r="A136" t="s">
        <v>1195</v>
      </c>
      <c r="B136" t="s">
        <v>1196</v>
      </c>
      <c r="C136" t="s">
        <v>40</v>
      </c>
      <c r="D136" t="s">
        <v>1197</v>
      </c>
      <c r="E136" t="s">
        <v>1198</v>
      </c>
      <c r="F136" t="s">
        <v>650</v>
      </c>
      <c r="G136" t="s">
        <v>1199</v>
      </c>
      <c r="H136" t="s">
        <v>1200</v>
      </c>
      <c r="I136" t="s">
        <v>1</v>
      </c>
      <c r="J136" t="s">
        <v>1</v>
      </c>
      <c r="K136" t="s">
        <v>1201</v>
      </c>
      <c r="L136" t="s">
        <v>1</v>
      </c>
      <c r="M136">
        <v>4.6172</v>
      </c>
      <c r="N136">
        <v>-74.1546</v>
      </c>
      <c r="O136" t="s">
        <v>1</v>
      </c>
      <c r="P136" t="s">
        <v>1</v>
      </c>
      <c r="Q136" t="s">
        <v>1202</v>
      </c>
      <c r="R136" t="s">
        <v>1203</v>
      </c>
    </row>
    <row r="137" spans="1:18" x14ac:dyDescent="0.25">
      <c r="A137" t="s">
        <v>1204</v>
      </c>
      <c r="B137" t="s">
        <v>1205</v>
      </c>
      <c r="C137" t="s">
        <v>40</v>
      </c>
      <c r="D137" t="s">
        <v>745</v>
      </c>
      <c r="E137" t="s">
        <v>111</v>
      </c>
      <c r="F137" t="s">
        <v>1206</v>
      </c>
      <c r="G137" t="s">
        <v>1207</v>
      </c>
      <c r="H137" t="s">
        <v>1208</v>
      </c>
      <c r="I137" t="s">
        <v>1</v>
      </c>
      <c r="J137" t="s">
        <v>1</v>
      </c>
      <c r="K137" t="s">
        <v>1209</v>
      </c>
      <c r="L137" t="s">
        <v>1</v>
      </c>
      <c r="M137">
        <v>4.6346</v>
      </c>
      <c r="N137">
        <v>-74.1638</v>
      </c>
      <c r="O137" t="s">
        <v>1</v>
      </c>
      <c r="P137" t="s">
        <v>1</v>
      </c>
      <c r="Q137" t="s">
        <v>1210</v>
      </c>
      <c r="R137" t="s">
        <v>1211</v>
      </c>
    </row>
  </sheetData>
  <autoFilter ref="A1:R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3" width="14" customWidth="1"/>
    <col min="4" max="4" width="34" customWidth="1"/>
    <col min="5" max="5" width="14" customWidth="1"/>
    <col min="6" max="6" width="90" customWidth="1"/>
    <col min="7" max="7" width="10" customWidth="1"/>
    <col min="8" max="8" width="7" customWidth="1"/>
  </cols>
  <sheetData>
    <row r="1" spans="1:8" x14ac:dyDescent="0.25">
      <c r="A1" s="2" t="s">
        <v>91</v>
      </c>
      <c r="B1" s="2" t="s">
        <v>1212</v>
      </c>
      <c r="C1" s="2" t="s">
        <v>1213</v>
      </c>
      <c r="D1" s="2" t="s">
        <v>45</v>
      </c>
      <c r="E1" s="2" t="s">
        <v>1214</v>
      </c>
      <c r="F1" s="2" t="s">
        <v>1215</v>
      </c>
      <c r="G1" s="2" t="s">
        <v>1216</v>
      </c>
      <c r="H1" s="2" t="s">
        <v>1217</v>
      </c>
    </row>
    <row r="2" spans="1:8" x14ac:dyDescent="0.25">
      <c r="A2" t="s">
        <v>1218</v>
      </c>
      <c r="B2" t="s">
        <v>108</v>
      </c>
      <c r="C2" t="s">
        <v>665</v>
      </c>
      <c r="D2" t="s">
        <v>48</v>
      </c>
      <c r="E2" t="s">
        <v>1</v>
      </c>
      <c r="F2" t="s">
        <v>1219</v>
      </c>
      <c r="G2" t="s">
        <v>1220</v>
      </c>
      <c r="H2">
        <v>3</v>
      </c>
    </row>
    <row r="3" spans="1:8" x14ac:dyDescent="0.25">
      <c r="A3" t="s">
        <v>1221</v>
      </c>
      <c r="B3" t="s">
        <v>108</v>
      </c>
      <c r="C3" t="s">
        <v>673</v>
      </c>
      <c r="D3" t="s">
        <v>55</v>
      </c>
      <c r="E3" t="s">
        <v>1</v>
      </c>
      <c r="F3" t="s">
        <v>1222</v>
      </c>
      <c r="G3" t="s">
        <v>1223</v>
      </c>
      <c r="H3">
        <v>2</v>
      </c>
    </row>
    <row r="4" spans="1:8" x14ac:dyDescent="0.25">
      <c r="A4" t="s">
        <v>1224</v>
      </c>
      <c r="B4" t="s">
        <v>108</v>
      </c>
      <c r="C4" t="s">
        <v>772</v>
      </c>
      <c r="D4" t="s">
        <v>58</v>
      </c>
      <c r="E4" t="s">
        <v>1</v>
      </c>
      <c r="F4" t="s">
        <v>1225</v>
      </c>
      <c r="G4" t="s">
        <v>1223</v>
      </c>
      <c r="H4">
        <v>2</v>
      </c>
    </row>
    <row r="5" spans="1:8" x14ac:dyDescent="0.25">
      <c r="A5" t="s">
        <v>1226</v>
      </c>
      <c r="B5" t="s">
        <v>120</v>
      </c>
      <c r="C5" t="s">
        <v>682</v>
      </c>
      <c r="D5" t="s">
        <v>58</v>
      </c>
      <c r="E5" t="s">
        <v>1</v>
      </c>
      <c r="F5" t="s">
        <v>1227</v>
      </c>
      <c r="G5" t="s">
        <v>1223</v>
      </c>
      <c r="H5">
        <v>2</v>
      </c>
    </row>
    <row r="6" spans="1:8" x14ac:dyDescent="0.25">
      <c r="A6" t="s">
        <v>1228</v>
      </c>
      <c r="B6" t="s">
        <v>120</v>
      </c>
      <c r="C6" t="s">
        <v>690</v>
      </c>
      <c r="D6" t="s">
        <v>48</v>
      </c>
      <c r="E6" t="s">
        <v>1</v>
      </c>
      <c r="F6" t="s">
        <v>1229</v>
      </c>
      <c r="G6" t="s">
        <v>1223</v>
      </c>
      <c r="H6">
        <v>2</v>
      </c>
    </row>
    <row r="7" spans="1:8" x14ac:dyDescent="0.25">
      <c r="A7" t="s">
        <v>1230</v>
      </c>
      <c r="B7" t="s">
        <v>120</v>
      </c>
      <c r="C7" t="s">
        <v>720</v>
      </c>
      <c r="D7" t="s">
        <v>48</v>
      </c>
      <c r="E7" t="s">
        <v>1</v>
      </c>
      <c r="F7" t="s">
        <v>1231</v>
      </c>
      <c r="G7" t="s">
        <v>1232</v>
      </c>
      <c r="H7">
        <v>1</v>
      </c>
    </row>
    <row r="8" spans="1:8" x14ac:dyDescent="0.25">
      <c r="A8" t="s">
        <v>1233</v>
      </c>
      <c r="B8" t="s">
        <v>130</v>
      </c>
      <c r="C8" t="s">
        <v>697</v>
      </c>
      <c r="D8" t="s">
        <v>48</v>
      </c>
      <c r="E8" t="s">
        <v>1</v>
      </c>
      <c r="F8" t="s">
        <v>1234</v>
      </c>
      <c r="G8" t="s">
        <v>1223</v>
      </c>
      <c r="H8">
        <v>2</v>
      </c>
    </row>
    <row r="9" spans="1:8" x14ac:dyDescent="0.25">
      <c r="A9" t="s">
        <v>1235</v>
      </c>
      <c r="B9" t="s">
        <v>130</v>
      </c>
      <c r="C9" t="s">
        <v>704</v>
      </c>
      <c r="D9" t="s">
        <v>48</v>
      </c>
      <c r="E9" t="s">
        <v>1</v>
      </c>
      <c r="F9" t="s">
        <v>1236</v>
      </c>
      <c r="G9" t="s">
        <v>1232</v>
      </c>
      <c r="H9">
        <v>1</v>
      </c>
    </row>
    <row r="10" spans="1:8" x14ac:dyDescent="0.25">
      <c r="A10" t="s">
        <v>1237</v>
      </c>
      <c r="B10" t="s">
        <v>130</v>
      </c>
      <c r="C10" t="s">
        <v>758</v>
      </c>
      <c r="D10" t="s">
        <v>48</v>
      </c>
      <c r="E10" t="s">
        <v>1</v>
      </c>
      <c r="F10" t="s">
        <v>1238</v>
      </c>
      <c r="G10" t="s">
        <v>1232</v>
      </c>
      <c r="H10">
        <v>1</v>
      </c>
    </row>
    <row r="11" spans="1:8" x14ac:dyDescent="0.25">
      <c r="A11" t="s">
        <v>1239</v>
      </c>
      <c r="B11" t="s">
        <v>139</v>
      </c>
      <c r="C11" t="s">
        <v>713</v>
      </c>
      <c r="D11" t="s">
        <v>58</v>
      </c>
      <c r="E11" t="s">
        <v>1</v>
      </c>
      <c r="F11" t="s">
        <v>1240</v>
      </c>
      <c r="G11" t="s">
        <v>1223</v>
      </c>
      <c r="H11">
        <v>2</v>
      </c>
    </row>
    <row r="12" spans="1:8" x14ac:dyDescent="0.25">
      <c r="A12" t="s">
        <v>1241</v>
      </c>
      <c r="B12" t="s">
        <v>139</v>
      </c>
      <c r="C12" t="s">
        <v>720</v>
      </c>
      <c r="D12" t="s">
        <v>48</v>
      </c>
      <c r="E12" t="s">
        <v>1</v>
      </c>
      <c r="F12" t="s">
        <v>1242</v>
      </c>
      <c r="G12" t="s">
        <v>1223</v>
      </c>
      <c r="H12">
        <v>2</v>
      </c>
    </row>
    <row r="13" spans="1:8" x14ac:dyDescent="0.25">
      <c r="A13" t="s">
        <v>1243</v>
      </c>
      <c r="B13" t="s">
        <v>150</v>
      </c>
      <c r="C13" t="s">
        <v>728</v>
      </c>
      <c r="D13" t="s">
        <v>51</v>
      </c>
      <c r="E13" t="s">
        <v>1</v>
      </c>
      <c r="F13" t="s">
        <v>1244</v>
      </c>
      <c r="G13" t="s">
        <v>1220</v>
      </c>
      <c r="H13">
        <v>3</v>
      </c>
    </row>
    <row r="14" spans="1:8" x14ac:dyDescent="0.25">
      <c r="A14" t="s">
        <v>1245</v>
      </c>
      <c r="B14" t="s">
        <v>150</v>
      </c>
      <c r="C14" t="s">
        <v>736</v>
      </c>
      <c r="D14" t="s">
        <v>48</v>
      </c>
      <c r="E14" t="s">
        <v>1</v>
      </c>
      <c r="F14" t="s">
        <v>1246</v>
      </c>
      <c r="G14" t="s">
        <v>1223</v>
      </c>
      <c r="H14">
        <v>2</v>
      </c>
    </row>
    <row r="15" spans="1:8" x14ac:dyDescent="0.25">
      <c r="A15" t="s">
        <v>1247</v>
      </c>
      <c r="B15" t="s">
        <v>160</v>
      </c>
      <c r="C15" t="s">
        <v>743</v>
      </c>
      <c r="D15" t="s">
        <v>51</v>
      </c>
      <c r="E15" t="s">
        <v>1</v>
      </c>
      <c r="F15" t="s">
        <v>1248</v>
      </c>
      <c r="G15" t="s">
        <v>1223</v>
      </c>
      <c r="H15">
        <v>2</v>
      </c>
    </row>
    <row r="16" spans="1:8" x14ac:dyDescent="0.25">
      <c r="A16" t="s">
        <v>1249</v>
      </c>
      <c r="B16" t="s">
        <v>160</v>
      </c>
      <c r="C16" t="s">
        <v>752</v>
      </c>
      <c r="D16" t="s">
        <v>51</v>
      </c>
      <c r="E16" t="s">
        <v>1</v>
      </c>
      <c r="F16" t="s">
        <v>1250</v>
      </c>
      <c r="G16" t="s">
        <v>1232</v>
      </c>
      <c r="H16">
        <v>1</v>
      </c>
    </row>
    <row r="17" spans="1:8" x14ac:dyDescent="0.25">
      <c r="A17" t="s">
        <v>1251</v>
      </c>
      <c r="B17" t="s">
        <v>168</v>
      </c>
      <c r="C17" t="s">
        <v>758</v>
      </c>
      <c r="D17" t="s">
        <v>48</v>
      </c>
      <c r="E17" t="s">
        <v>1</v>
      </c>
      <c r="F17" t="s">
        <v>1252</v>
      </c>
      <c r="G17" t="s">
        <v>1232</v>
      </c>
      <c r="H17">
        <v>1</v>
      </c>
    </row>
    <row r="18" spans="1:8" x14ac:dyDescent="0.25">
      <c r="A18" t="s">
        <v>1253</v>
      </c>
      <c r="B18" t="s">
        <v>168</v>
      </c>
      <c r="C18" t="s">
        <v>765</v>
      </c>
      <c r="D18" t="s">
        <v>48</v>
      </c>
      <c r="E18" t="s">
        <v>1</v>
      </c>
      <c r="F18" t="s">
        <v>1254</v>
      </c>
      <c r="G18" t="s">
        <v>1232</v>
      </c>
      <c r="H18">
        <v>1</v>
      </c>
    </row>
    <row r="19" spans="1:8" x14ac:dyDescent="0.25">
      <c r="A19" t="s">
        <v>1255</v>
      </c>
      <c r="B19" t="s">
        <v>178</v>
      </c>
      <c r="C19" t="s">
        <v>772</v>
      </c>
      <c r="D19" t="s">
        <v>58</v>
      </c>
      <c r="E19" t="s">
        <v>1</v>
      </c>
      <c r="F19" t="s">
        <v>1256</v>
      </c>
      <c r="G19" t="s">
        <v>1223</v>
      </c>
      <c r="H19">
        <v>2</v>
      </c>
    </row>
    <row r="20" spans="1:8" x14ac:dyDescent="0.25">
      <c r="A20" t="s">
        <v>1257</v>
      </c>
      <c r="B20" t="s">
        <v>188</v>
      </c>
      <c r="C20" t="s">
        <v>780</v>
      </c>
      <c r="D20" t="s">
        <v>55</v>
      </c>
      <c r="E20" t="s">
        <v>1</v>
      </c>
      <c r="F20" t="s">
        <v>1258</v>
      </c>
      <c r="G20" t="s">
        <v>1223</v>
      </c>
      <c r="H20">
        <v>2</v>
      </c>
    </row>
    <row r="21" spans="1:8" x14ac:dyDescent="0.25">
      <c r="A21" t="s">
        <v>1259</v>
      </c>
      <c r="B21" t="s">
        <v>188</v>
      </c>
      <c r="C21" t="s">
        <v>787</v>
      </c>
      <c r="D21" t="s">
        <v>55</v>
      </c>
      <c r="E21" t="s">
        <v>1</v>
      </c>
      <c r="F21" t="s">
        <v>1260</v>
      </c>
      <c r="G21" t="s">
        <v>1232</v>
      </c>
      <c r="H21">
        <v>1</v>
      </c>
    </row>
    <row r="22" spans="1:8" x14ac:dyDescent="0.25">
      <c r="A22" t="s">
        <v>1261</v>
      </c>
      <c r="B22" t="s">
        <v>199</v>
      </c>
      <c r="C22" t="s">
        <v>795</v>
      </c>
      <c r="D22" t="s">
        <v>55</v>
      </c>
      <c r="E22" t="s">
        <v>1</v>
      </c>
      <c r="F22" t="s">
        <v>1262</v>
      </c>
      <c r="G22" t="s">
        <v>1223</v>
      </c>
      <c r="H22">
        <v>2</v>
      </c>
    </row>
    <row r="23" spans="1:8" x14ac:dyDescent="0.25">
      <c r="A23" t="s">
        <v>1263</v>
      </c>
      <c r="B23" t="s">
        <v>199</v>
      </c>
      <c r="C23" t="s">
        <v>673</v>
      </c>
      <c r="D23" t="s">
        <v>55</v>
      </c>
      <c r="E23" t="s">
        <v>1</v>
      </c>
      <c r="F23" t="s">
        <v>1264</v>
      </c>
      <c r="G23" t="s">
        <v>1232</v>
      </c>
      <c r="H23">
        <v>1</v>
      </c>
    </row>
    <row r="24" spans="1:8" x14ac:dyDescent="0.25">
      <c r="A24" t="s">
        <v>1265</v>
      </c>
      <c r="B24" t="s">
        <v>208</v>
      </c>
      <c r="C24" t="s">
        <v>804</v>
      </c>
      <c r="D24" t="s">
        <v>55</v>
      </c>
      <c r="E24" t="s">
        <v>1</v>
      </c>
      <c r="F24" t="s">
        <v>1266</v>
      </c>
      <c r="G24" t="s">
        <v>1223</v>
      </c>
      <c r="H24">
        <v>2</v>
      </c>
    </row>
    <row r="25" spans="1:8" x14ac:dyDescent="0.25">
      <c r="A25" t="s">
        <v>1267</v>
      </c>
      <c r="B25" t="s">
        <v>208</v>
      </c>
      <c r="C25" t="s">
        <v>810</v>
      </c>
      <c r="D25" t="s">
        <v>55</v>
      </c>
      <c r="E25" t="s">
        <v>1</v>
      </c>
      <c r="F25" t="s">
        <v>1268</v>
      </c>
      <c r="G25" t="s">
        <v>1223</v>
      </c>
      <c r="H25">
        <v>2</v>
      </c>
    </row>
    <row r="26" spans="1:8" x14ac:dyDescent="0.25">
      <c r="A26" t="s">
        <v>1269</v>
      </c>
      <c r="B26" t="s">
        <v>217</v>
      </c>
      <c r="C26" t="s">
        <v>810</v>
      </c>
      <c r="D26" t="s">
        <v>55</v>
      </c>
      <c r="E26" t="s">
        <v>1</v>
      </c>
      <c r="F26" t="s">
        <v>1270</v>
      </c>
      <c r="G26" t="s">
        <v>1232</v>
      </c>
      <c r="H26">
        <v>1</v>
      </c>
    </row>
    <row r="27" spans="1:8" x14ac:dyDescent="0.25">
      <c r="A27" t="s">
        <v>1271</v>
      </c>
      <c r="B27" t="s">
        <v>217</v>
      </c>
      <c r="C27" t="s">
        <v>816</v>
      </c>
      <c r="D27" t="s">
        <v>55</v>
      </c>
      <c r="E27" t="s">
        <v>1</v>
      </c>
      <c r="F27" t="s">
        <v>1272</v>
      </c>
      <c r="G27" t="s">
        <v>1232</v>
      </c>
      <c r="H27">
        <v>1</v>
      </c>
    </row>
    <row r="28" spans="1:8" x14ac:dyDescent="0.25">
      <c r="A28" t="s">
        <v>1273</v>
      </c>
      <c r="B28" t="s">
        <v>226</v>
      </c>
      <c r="C28" t="s">
        <v>673</v>
      </c>
      <c r="D28" t="s">
        <v>55</v>
      </c>
      <c r="E28" t="s">
        <v>1</v>
      </c>
      <c r="F28" t="s">
        <v>1274</v>
      </c>
      <c r="G28" t="s">
        <v>1220</v>
      </c>
      <c r="H28">
        <v>3</v>
      </c>
    </row>
    <row r="29" spans="1:8" x14ac:dyDescent="0.25">
      <c r="A29" t="s">
        <v>1275</v>
      </c>
      <c r="B29" t="s">
        <v>226</v>
      </c>
      <c r="C29" t="s">
        <v>780</v>
      </c>
      <c r="D29" t="s">
        <v>55</v>
      </c>
      <c r="E29" t="s">
        <v>1</v>
      </c>
      <c r="F29" t="s">
        <v>1276</v>
      </c>
      <c r="G29" t="s">
        <v>1232</v>
      </c>
      <c r="H29">
        <v>1</v>
      </c>
    </row>
    <row r="30" spans="1:8" x14ac:dyDescent="0.25">
      <c r="A30" t="s">
        <v>1277</v>
      </c>
      <c r="B30" t="s">
        <v>237</v>
      </c>
      <c r="C30" t="s">
        <v>824</v>
      </c>
      <c r="D30" t="s">
        <v>51</v>
      </c>
      <c r="E30" t="s">
        <v>1</v>
      </c>
      <c r="F30" t="s">
        <v>1278</v>
      </c>
      <c r="G30" t="s">
        <v>1279</v>
      </c>
      <c r="H30">
        <v>4</v>
      </c>
    </row>
    <row r="31" spans="1:8" x14ac:dyDescent="0.25">
      <c r="A31" t="s">
        <v>1280</v>
      </c>
      <c r="B31" t="s">
        <v>237</v>
      </c>
      <c r="C31" t="s">
        <v>831</v>
      </c>
      <c r="D31" t="s">
        <v>51</v>
      </c>
      <c r="E31" t="s">
        <v>1</v>
      </c>
      <c r="F31" t="s">
        <v>1281</v>
      </c>
      <c r="G31" t="s">
        <v>1220</v>
      </c>
      <c r="H31">
        <v>3</v>
      </c>
    </row>
    <row r="32" spans="1:8" x14ac:dyDescent="0.25">
      <c r="A32" t="s">
        <v>1282</v>
      </c>
      <c r="B32" t="s">
        <v>246</v>
      </c>
      <c r="C32" t="s">
        <v>838</v>
      </c>
      <c r="D32" t="s">
        <v>51</v>
      </c>
      <c r="E32" t="s">
        <v>1</v>
      </c>
      <c r="F32" t="s">
        <v>1283</v>
      </c>
      <c r="G32" t="s">
        <v>1220</v>
      </c>
      <c r="H32">
        <v>3</v>
      </c>
    </row>
    <row r="33" spans="1:8" x14ac:dyDescent="0.25">
      <c r="A33" t="s">
        <v>1284</v>
      </c>
      <c r="B33" t="s">
        <v>246</v>
      </c>
      <c r="C33" t="s">
        <v>844</v>
      </c>
      <c r="D33" t="s">
        <v>51</v>
      </c>
      <c r="E33" t="s">
        <v>1</v>
      </c>
      <c r="F33" t="s">
        <v>1285</v>
      </c>
      <c r="G33" t="s">
        <v>1223</v>
      </c>
      <c r="H33">
        <v>2</v>
      </c>
    </row>
    <row r="34" spans="1:8" x14ac:dyDescent="0.25">
      <c r="A34" t="s">
        <v>1286</v>
      </c>
      <c r="B34" t="s">
        <v>255</v>
      </c>
      <c r="C34" t="s">
        <v>851</v>
      </c>
      <c r="D34" t="s">
        <v>51</v>
      </c>
      <c r="E34" t="s">
        <v>1</v>
      </c>
      <c r="F34" t="s">
        <v>1287</v>
      </c>
      <c r="G34" t="s">
        <v>1220</v>
      </c>
      <c r="H34">
        <v>3</v>
      </c>
    </row>
    <row r="35" spans="1:8" x14ac:dyDescent="0.25">
      <c r="A35" t="s">
        <v>1288</v>
      </c>
      <c r="B35" t="s">
        <v>255</v>
      </c>
      <c r="C35" t="s">
        <v>844</v>
      </c>
      <c r="D35" t="s">
        <v>51</v>
      </c>
      <c r="E35" t="s">
        <v>1</v>
      </c>
      <c r="F35" t="s">
        <v>1289</v>
      </c>
      <c r="G35" t="s">
        <v>1232</v>
      </c>
      <c r="H35">
        <v>1</v>
      </c>
    </row>
    <row r="36" spans="1:8" x14ac:dyDescent="0.25">
      <c r="A36" t="s">
        <v>1290</v>
      </c>
      <c r="B36" t="s">
        <v>264</v>
      </c>
      <c r="C36" t="s">
        <v>858</v>
      </c>
      <c r="D36" t="s">
        <v>51</v>
      </c>
      <c r="E36" t="s">
        <v>1</v>
      </c>
      <c r="F36" t="s">
        <v>1291</v>
      </c>
      <c r="G36" t="s">
        <v>1220</v>
      </c>
      <c r="H36">
        <v>3</v>
      </c>
    </row>
    <row r="37" spans="1:8" x14ac:dyDescent="0.25">
      <c r="A37" t="s">
        <v>1292</v>
      </c>
      <c r="B37" t="s">
        <v>264</v>
      </c>
      <c r="C37" t="s">
        <v>865</v>
      </c>
      <c r="D37" t="s">
        <v>58</v>
      </c>
      <c r="E37" t="s">
        <v>1</v>
      </c>
      <c r="F37" t="s">
        <v>1293</v>
      </c>
      <c r="G37" t="s">
        <v>1279</v>
      </c>
      <c r="H37">
        <v>4</v>
      </c>
    </row>
    <row r="38" spans="1:8" x14ac:dyDescent="0.25">
      <c r="A38" t="s">
        <v>1294</v>
      </c>
      <c r="B38" t="s">
        <v>273</v>
      </c>
      <c r="C38" t="s">
        <v>872</v>
      </c>
      <c r="D38" t="s">
        <v>58</v>
      </c>
      <c r="E38" t="s">
        <v>1</v>
      </c>
      <c r="F38" t="s">
        <v>1295</v>
      </c>
      <c r="G38" t="s">
        <v>1220</v>
      </c>
      <c r="H38">
        <v>3</v>
      </c>
    </row>
    <row r="39" spans="1:8" x14ac:dyDescent="0.25">
      <c r="A39" t="s">
        <v>1296</v>
      </c>
      <c r="B39" t="s">
        <v>273</v>
      </c>
      <c r="C39" t="s">
        <v>865</v>
      </c>
      <c r="D39" t="s">
        <v>58</v>
      </c>
      <c r="E39" t="s">
        <v>1</v>
      </c>
      <c r="F39" t="s">
        <v>1297</v>
      </c>
      <c r="G39" t="s">
        <v>1223</v>
      </c>
      <c r="H39">
        <v>2</v>
      </c>
    </row>
    <row r="40" spans="1:8" x14ac:dyDescent="0.25">
      <c r="A40" t="s">
        <v>1298</v>
      </c>
      <c r="B40" t="s">
        <v>282</v>
      </c>
      <c r="C40" t="s">
        <v>880</v>
      </c>
      <c r="D40" t="s">
        <v>58</v>
      </c>
      <c r="E40" t="s">
        <v>1</v>
      </c>
      <c r="F40" t="s">
        <v>1299</v>
      </c>
      <c r="G40" t="s">
        <v>1223</v>
      </c>
      <c r="H40">
        <v>2</v>
      </c>
    </row>
    <row r="41" spans="1:8" x14ac:dyDescent="0.25">
      <c r="A41" t="s">
        <v>1300</v>
      </c>
      <c r="B41" t="s">
        <v>291</v>
      </c>
      <c r="C41" t="s">
        <v>888</v>
      </c>
      <c r="D41" t="s">
        <v>51</v>
      </c>
      <c r="E41" t="s">
        <v>1</v>
      </c>
      <c r="F41" t="s">
        <v>1301</v>
      </c>
      <c r="G41" t="s">
        <v>1279</v>
      </c>
      <c r="H41">
        <v>4</v>
      </c>
    </row>
    <row r="42" spans="1:8" x14ac:dyDescent="0.25">
      <c r="A42" t="s">
        <v>1302</v>
      </c>
      <c r="B42" t="s">
        <v>291</v>
      </c>
      <c r="C42" t="s">
        <v>858</v>
      </c>
      <c r="D42" t="s">
        <v>51</v>
      </c>
      <c r="E42" t="s">
        <v>1</v>
      </c>
      <c r="F42" t="s">
        <v>1303</v>
      </c>
      <c r="G42" t="s">
        <v>1223</v>
      </c>
      <c r="H42">
        <v>2</v>
      </c>
    </row>
    <row r="43" spans="1:8" x14ac:dyDescent="0.25">
      <c r="A43" t="s">
        <v>1304</v>
      </c>
      <c r="B43" t="s">
        <v>108</v>
      </c>
      <c r="C43" t="s">
        <v>150</v>
      </c>
      <c r="D43" t="s">
        <v>62</v>
      </c>
      <c r="E43" t="s">
        <v>1</v>
      </c>
      <c r="F43" t="s">
        <v>1305</v>
      </c>
      <c r="G43" t="s">
        <v>1223</v>
      </c>
      <c r="H43">
        <v>2</v>
      </c>
    </row>
    <row r="44" spans="1:8" x14ac:dyDescent="0.25">
      <c r="A44" t="s">
        <v>1306</v>
      </c>
      <c r="B44" t="s">
        <v>108</v>
      </c>
      <c r="C44" t="s">
        <v>226</v>
      </c>
      <c r="D44" t="s">
        <v>72</v>
      </c>
      <c r="E44" t="s">
        <v>1</v>
      </c>
      <c r="F44" t="s">
        <v>1307</v>
      </c>
      <c r="G44" t="s">
        <v>1223</v>
      </c>
      <c r="H44">
        <v>2</v>
      </c>
    </row>
    <row r="45" spans="1:8" x14ac:dyDescent="0.25">
      <c r="A45" t="s">
        <v>1308</v>
      </c>
      <c r="B45" t="s">
        <v>108</v>
      </c>
      <c r="C45" t="s">
        <v>178</v>
      </c>
      <c r="D45" t="s">
        <v>67</v>
      </c>
      <c r="E45" t="s">
        <v>1</v>
      </c>
      <c r="F45" t="s">
        <v>1309</v>
      </c>
      <c r="G45" t="s">
        <v>1232</v>
      </c>
      <c r="H45">
        <v>1</v>
      </c>
    </row>
    <row r="46" spans="1:8" x14ac:dyDescent="0.25">
      <c r="A46" t="s">
        <v>1310</v>
      </c>
      <c r="B46" t="s">
        <v>108</v>
      </c>
      <c r="C46" t="s">
        <v>120</v>
      </c>
      <c r="D46" t="s">
        <v>62</v>
      </c>
      <c r="E46" t="s">
        <v>1</v>
      </c>
      <c r="F46" t="s">
        <v>1311</v>
      </c>
      <c r="G46" t="s">
        <v>1223</v>
      </c>
      <c r="H46">
        <v>2</v>
      </c>
    </row>
    <row r="47" spans="1:8" x14ac:dyDescent="0.25">
      <c r="A47" t="s">
        <v>1312</v>
      </c>
      <c r="B47" t="s">
        <v>120</v>
      </c>
      <c r="C47" t="s">
        <v>130</v>
      </c>
      <c r="D47" t="s">
        <v>62</v>
      </c>
      <c r="E47" t="s">
        <v>1</v>
      </c>
      <c r="F47" t="s">
        <v>1313</v>
      </c>
      <c r="G47" t="s">
        <v>1223</v>
      </c>
      <c r="H47">
        <v>2</v>
      </c>
    </row>
    <row r="48" spans="1:8" x14ac:dyDescent="0.25">
      <c r="A48" t="s">
        <v>1314</v>
      </c>
      <c r="B48" t="s">
        <v>120</v>
      </c>
      <c r="C48" t="s">
        <v>139</v>
      </c>
      <c r="D48" t="s">
        <v>62</v>
      </c>
      <c r="E48" t="s">
        <v>1</v>
      </c>
      <c r="F48" t="s">
        <v>1315</v>
      </c>
      <c r="G48" t="s">
        <v>1232</v>
      </c>
      <c r="H48">
        <v>1</v>
      </c>
    </row>
    <row r="49" spans="1:8" x14ac:dyDescent="0.25">
      <c r="A49" t="s">
        <v>1316</v>
      </c>
      <c r="B49" t="s">
        <v>130</v>
      </c>
      <c r="C49" t="s">
        <v>168</v>
      </c>
      <c r="D49" t="s">
        <v>62</v>
      </c>
      <c r="E49" t="s">
        <v>1</v>
      </c>
      <c r="F49" t="s">
        <v>1317</v>
      </c>
      <c r="G49" t="s">
        <v>1232</v>
      </c>
      <c r="H49">
        <v>1</v>
      </c>
    </row>
    <row r="50" spans="1:8" x14ac:dyDescent="0.25">
      <c r="A50" t="s">
        <v>1318</v>
      </c>
      <c r="B50" t="s">
        <v>150</v>
      </c>
      <c r="C50" t="s">
        <v>160</v>
      </c>
      <c r="D50" t="s">
        <v>77</v>
      </c>
      <c r="E50" t="s">
        <v>1</v>
      </c>
      <c r="F50" t="s">
        <v>1319</v>
      </c>
      <c r="G50" t="s">
        <v>1232</v>
      </c>
      <c r="H50">
        <v>1</v>
      </c>
    </row>
    <row r="51" spans="1:8" x14ac:dyDescent="0.25">
      <c r="A51" t="s">
        <v>1320</v>
      </c>
      <c r="B51" t="s">
        <v>150</v>
      </c>
      <c r="C51" t="s">
        <v>291</v>
      </c>
      <c r="D51" t="s">
        <v>67</v>
      </c>
      <c r="E51" t="s">
        <v>1</v>
      </c>
      <c r="F51" t="s">
        <v>1321</v>
      </c>
      <c r="G51" t="s">
        <v>1220</v>
      </c>
      <c r="H51">
        <v>3</v>
      </c>
    </row>
    <row r="52" spans="1:8" x14ac:dyDescent="0.25">
      <c r="A52" t="s">
        <v>1322</v>
      </c>
      <c r="B52" t="s">
        <v>226</v>
      </c>
      <c r="C52" t="s">
        <v>199</v>
      </c>
      <c r="D52" t="s">
        <v>72</v>
      </c>
      <c r="E52" t="s">
        <v>1</v>
      </c>
      <c r="F52" t="s">
        <v>1323</v>
      </c>
      <c r="G52" t="s">
        <v>1232</v>
      </c>
      <c r="H52">
        <v>1</v>
      </c>
    </row>
    <row r="53" spans="1:8" x14ac:dyDescent="0.25">
      <c r="A53" t="s">
        <v>1324</v>
      </c>
      <c r="B53" t="s">
        <v>226</v>
      </c>
      <c r="C53" t="s">
        <v>188</v>
      </c>
      <c r="D53" t="s">
        <v>72</v>
      </c>
      <c r="E53" t="s">
        <v>1</v>
      </c>
      <c r="F53" t="s">
        <v>1325</v>
      </c>
      <c r="G53" t="s">
        <v>1223</v>
      </c>
      <c r="H53">
        <v>2</v>
      </c>
    </row>
    <row r="54" spans="1:8" x14ac:dyDescent="0.25">
      <c r="A54" t="s">
        <v>1326</v>
      </c>
      <c r="B54" t="s">
        <v>188</v>
      </c>
      <c r="C54" t="s">
        <v>208</v>
      </c>
      <c r="D54" t="s">
        <v>72</v>
      </c>
      <c r="E54" t="s">
        <v>1</v>
      </c>
      <c r="F54" t="s">
        <v>1327</v>
      </c>
      <c r="G54" t="s">
        <v>1223</v>
      </c>
      <c r="H54">
        <v>2</v>
      </c>
    </row>
    <row r="55" spans="1:8" x14ac:dyDescent="0.25">
      <c r="A55" t="s">
        <v>1328</v>
      </c>
      <c r="B55" t="s">
        <v>208</v>
      </c>
      <c r="C55" t="s">
        <v>217</v>
      </c>
      <c r="D55" t="s">
        <v>72</v>
      </c>
      <c r="E55" t="s">
        <v>1</v>
      </c>
      <c r="F55" t="s">
        <v>1329</v>
      </c>
      <c r="G55" t="s">
        <v>1232</v>
      </c>
      <c r="H55">
        <v>1</v>
      </c>
    </row>
    <row r="56" spans="1:8" x14ac:dyDescent="0.25">
      <c r="A56" t="s">
        <v>1330</v>
      </c>
      <c r="B56" t="s">
        <v>188</v>
      </c>
      <c r="C56" t="s">
        <v>237</v>
      </c>
      <c r="D56" t="s">
        <v>67</v>
      </c>
      <c r="E56" t="s">
        <v>1</v>
      </c>
      <c r="F56" t="s">
        <v>1331</v>
      </c>
      <c r="G56" t="s">
        <v>1223</v>
      </c>
      <c r="H56">
        <v>2</v>
      </c>
    </row>
    <row r="57" spans="1:8" x14ac:dyDescent="0.25">
      <c r="A57" t="s">
        <v>1332</v>
      </c>
      <c r="B57" t="s">
        <v>237</v>
      </c>
      <c r="C57" t="s">
        <v>255</v>
      </c>
      <c r="D57" t="s">
        <v>67</v>
      </c>
      <c r="E57" t="s">
        <v>1</v>
      </c>
      <c r="F57" t="s">
        <v>1333</v>
      </c>
      <c r="G57" t="s">
        <v>1232</v>
      </c>
      <c r="H57">
        <v>1</v>
      </c>
    </row>
    <row r="58" spans="1:8" x14ac:dyDescent="0.25">
      <c r="A58" t="s">
        <v>1334</v>
      </c>
      <c r="B58" t="s">
        <v>246</v>
      </c>
      <c r="C58" t="s">
        <v>291</v>
      </c>
      <c r="D58" t="s">
        <v>67</v>
      </c>
      <c r="E58" t="s">
        <v>1</v>
      </c>
      <c r="F58" t="s">
        <v>1335</v>
      </c>
      <c r="G58" t="s">
        <v>1220</v>
      </c>
      <c r="H58">
        <v>3</v>
      </c>
    </row>
    <row r="59" spans="1:8" x14ac:dyDescent="0.25">
      <c r="A59" t="s">
        <v>1336</v>
      </c>
      <c r="B59" t="s">
        <v>246</v>
      </c>
      <c r="C59" t="s">
        <v>264</v>
      </c>
      <c r="D59" t="s">
        <v>67</v>
      </c>
      <c r="E59" t="s">
        <v>1</v>
      </c>
      <c r="F59" t="s">
        <v>1337</v>
      </c>
      <c r="G59" t="s">
        <v>1223</v>
      </c>
      <c r="H59">
        <v>2</v>
      </c>
    </row>
    <row r="60" spans="1:8" x14ac:dyDescent="0.25">
      <c r="A60" t="s">
        <v>1338</v>
      </c>
      <c r="B60" t="s">
        <v>264</v>
      </c>
      <c r="C60" t="s">
        <v>273</v>
      </c>
      <c r="D60" t="s">
        <v>67</v>
      </c>
      <c r="E60" t="s">
        <v>1</v>
      </c>
      <c r="F60" t="s">
        <v>1339</v>
      </c>
      <c r="G60" t="s">
        <v>1223</v>
      </c>
      <c r="H60">
        <v>2</v>
      </c>
    </row>
    <row r="61" spans="1:8" x14ac:dyDescent="0.25">
      <c r="A61" t="s">
        <v>1340</v>
      </c>
      <c r="B61" t="s">
        <v>273</v>
      </c>
      <c r="C61" t="s">
        <v>282</v>
      </c>
      <c r="D61" t="s">
        <v>67</v>
      </c>
      <c r="E61" t="s">
        <v>1</v>
      </c>
      <c r="F61" t="s">
        <v>1341</v>
      </c>
      <c r="G61" t="s">
        <v>1232</v>
      </c>
      <c r="H61">
        <v>1</v>
      </c>
    </row>
    <row r="62" spans="1:8" x14ac:dyDescent="0.25">
      <c r="A62" t="s">
        <v>1342</v>
      </c>
      <c r="B62" t="s">
        <v>301</v>
      </c>
      <c r="C62" t="s">
        <v>896</v>
      </c>
      <c r="D62" t="s">
        <v>48</v>
      </c>
      <c r="E62" t="s">
        <v>1</v>
      </c>
      <c r="F62" t="s">
        <v>1343</v>
      </c>
      <c r="G62" t="s">
        <v>1220</v>
      </c>
      <c r="H62">
        <v>3</v>
      </c>
    </row>
    <row r="63" spans="1:8" x14ac:dyDescent="0.25">
      <c r="A63" t="s">
        <v>1344</v>
      </c>
      <c r="B63" t="s">
        <v>310</v>
      </c>
      <c r="C63" t="s">
        <v>903</v>
      </c>
      <c r="D63" t="s">
        <v>48</v>
      </c>
      <c r="E63" t="s">
        <v>1</v>
      </c>
      <c r="F63" t="s">
        <v>1345</v>
      </c>
      <c r="G63" t="s">
        <v>1232</v>
      </c>
      <c r="H63">
        <v>1</v>
      </c>
    </row>
    <row r="64" spans="1:8" x14ac:dyDescent="0.25">
      <c r="A64" t="s">
        <v>1346</v>
      </c>
      <c r="B64" t="s">
        <v>319</v>
      </c>
      <c r="C64" t="s">
        <v>911</v>
      </c>
      <c r="D64" t="s">
        <v>48</v>
      </c>
      <c r="E64" t="s">
        <v>1</v>
      </c>
      <c r="F64" t="s">
        <v>1347</v>
      </c>
      <c r="G64" t="s">
        <v>1232</v>
      </c>
      <c r="H64">
        <v>1</v>
      </c>
    </row>
    <row r="65" spans="1:8" x14ac:dyDescent="0.25">
      <c r="A65" t="s">
        <v>1348</v>
      </c>
      <c r="B65" t="s">
        <v>328</v>
      </c>
      <c r="C65" t="s">
        <v>917</v>
      </c>
      <c r="D65" t="s">
        <v>58</v>
      </c>
      <c r="E65" t="s">
        <v>1</v>
      </c>
      <c r="F65" t="s">
        <v>1349</v>
      </c>
      <c r="G65" t="s">
        <v>1223</v>
      </c>
      <c r="H65">
        <v>2</v>
      </c>
    </row>
    <row r="66" spans="1:8" x14ac:dyDescent="0.25">
      <c r="A66" t="s">
        <v>1350</v>
      </c>
      <c r="B66" t="s">
        <v>328</v>
      </c>
      <c r="C66" t="s">
        <v>925</v>
      </c>
      <c r="D66" t="s">
        <v>48</v>
      </c>
      <c r="E66" t="s">
        <v>1</v>
      </c>
      <c r="F66" t="s">
        <v>1351</v>
      </c>
      <c r="G66" t="s">
        <v>1232</v>
      </c>
      <c r="H66">
        <v>1</v>
      </c>
    </row>
    <row r="67" spans="1:8" x14ac:dyDescent="0.25">
      <c r="A67" t="s">
        <v>1352</v>
      </c>
      <c r="B67" t="s">
        <v>337</v>
      </c>
      <c r="C67" t="s">
        <v>931</v>
      </c>
      <c r="D67" t="s">
        <v>48</v>
      </c>
      <c r="E67" t="s">
        <v>1</v>
      </c>
      <c r="F67" t="s">
        <v>1353</v>
      </c>
      <c r="G67" t="s">
        <v>1232</v>
      </c>
      <c r="H67">
        <v>1</v>
      </c>
    </row>
    <row r="68" spans="1:8" x14ac:dyDescent="0.25">
      <c r="A68" t="s">
        <v>1354</v>
      </c>
      <c r="B68" t="s">
        <v>346</v>
      </c>
      <c r="C68" t="s">
        <v>938</v>
      </c>
      <c r="D68" t="s">
        <v>58</v>
      </c>
      <c r="E68" t="s">
        <v>1</v>
      </c>
      <c r="F68" t="s">
        <v>1355</v>
      </c>
      <c r="G68" t="s">
        <v>1223</v>
      </c>
      <c r="H68">
        <v>2</v>
      </c>
    </row>
    <row r="69" spans="1:8" x14ac:dyDescent="0.25">
      <c r="A69" t="s">
        <v>1356</v>
      </c>
      <c r="B69" t="s">
        <v>355</v>
      </c>
      <c r="C69" t="s">
        <v>944</v>
      </c>
      <c r="D69" t="s">
        <v>48</v>
      </c>
      <c r="E69" t="s">
        <v>1</v>
      </c>
      <c r="F69" t="s">
        <v>1357</v>
      </c>
      <c r="G69" t="s">
        <v>1223</v>
      </c>
      <c r="H69">
        <v>2</v>
      </c>
    </row>
    <row r="70" spans="1:8" x14ac:dyDescent="0.25">
      <c r="A70" t="s">
        <v>1358</v>
      </c>
      <c r="B70" t="s">
        <v>364</v>
      </c>
      <c r="C70" t="s">
        <v>950</v>
      </c>
      <c r="D70" t="s">
        <v>58</v>
      </c>
      <c r="E70" t="s">
        <v>1</v>
      </c>
      <c r="F70" t="s">
        <v>1359</v>
      </c>
      <c r="G70" t="s">
        <v>1223</v>
      </c>
      <c r="H70">
        <v>2</v>
      </c>
    </row>
    <row r="71" spans="1:8" x14ac:dyDescent="0.25">
      <c r="A71" t="s">
        <v>1360</v>
      </c>
      <c r="B71" t="s">
        <v>372</v>
      </c>
      <c r="C71" t="s">
        <v>958</v>
      </c>
      <c r="D71" t="s">
        <v>58</v>
      </c>
      <c r="E71" t="s">
        <v>1</v>
      </c>
      <c r="F71" t="s">
        <v>1361</v>
      </c>
      <c r="G71" t="s">
        <v>1232</v>
      </c>
      <c r="H71">
        <v>1</v>
      </c>
    </row>
    <row r="72" spans="1:8" x14ac:dyDescent="0.25">
      <c r="A72" t="s">
        <v>1362</v>
      </c>
      <c r="B72" t="s">
        <v>382</v>
      </c>
      <c r="C72" t="s">
        <v>965</v>
      </c>
      <c r="D72" t="s">
        <v>58</v>
      </c>
      <c r="E72" t="s">
        <v>1</v>
      </c>
      <c r="F72" t="s">
        <v>1363</v>
      </c>
      <c r="G72" t="s">
        <v>1223</v>
      </c>
      <c r="H72">
        <v>2</v>
      </c>
    </row>
    <row r="73" spans="1:8" x14ac:dyDescent="0.25">
      <c r="A73" t="s">
        <v>1364</v>
      </c>
      <c r="B73" t="s">
        <v>391</v>
      </c>
      <c r="C73" t="s">
        <v>972</v>
      </c>
      <c r="D73" t="s">
        <v>48</v>
      </c>
      <c r="E73" t="s">
        <v>1</v>
      </c>
      <c r="F73" t="s">
        <v>1365</v>
      </c>
      <c r="G73" t="s">
        <v>1223</v>
      </c>
      <c r="H73">
        <v>2</v>
      </c>
    </row>
    <row r="74" spans="1:8" x14ac:dyDescent="0.25">
      <c r="A74" t="s">
        <v>1366</v>
      </c>
      <c r="B74" t="s">
        <v>400</v>
      </c>
      <c r="C74" t="s">
        <v>979</v>
      </c>
      <c r="D74" t="s">
        <v>48</v>
      </c>
      <c r="E74" t="s">
        <v>1</v>
      </c>
      <c r="F74" t="s">
        <v>1367</v>
      </c>
      <c r="G74" t="s">
        <v>1232</v>
      </c>
      <c r="H74">
        <v>1</v>
      </c>
    </row>
    <row r="75" spans="1:8" x14ac:dyDescent="0.25">
      <c r="A75" t="s">
        <v>1368</v>
      </c>
      <c r="B75" t="s">
        <v>409</v>
      </c>
      <c r="C75" t="s">
        <v>985</v>
      </c>
      <c r="D75" t="s">
        <v>58</v>
      </c>
      <c r="E75" t="s">
        <v>1</v>
      </c>
      <c r="F75" t="s">
        <v>1369</v>
      </c>
      <c r="G75" t="s">
        <v>1223</v>
      </c>
      <c r="H75">
        <v>2</v>
      </c>
    </row>
    <row r="76" spans="1:8" x14ac:dyDescent="0.25">
      <c r="A76" t="s">
        <v>1370</v>
      </c>
      <c r="B76" t="s">
        <v>417</v>
      </c>
      <c r="C76" t="s">
        <v>991</v>
      </c>
      <c r="D76" t="s">
        <v>48</v>
      </c>
      <c r="E76" t="s">
        <v>1</v>
      </c>
      <c r="F76" t="s">
        <v>1371</v>
      </c>
      <c r="G76" t="s">
        <v>1223</v>
      </c>
      <c r="H76">
        <v>2</v>
      </c>
    </row>
    <row r="77" spans="1:8" x14ac:dyDescent="0.25">
      <c r="A77" t="s">
        <v>1372</v>
      </c>
      <c r="B77" t="s">
        <v>425</v>
      </c>
      <c r="C77" t="s">
        <v>997</v>
      </c>
      <c r="D77" t="s">
        <v>58</v>
      </c>
      <c r="E77" t="s">
        <v>1</v>
      </c>
      <c r="F77" t="s">
        <v>1373</v>
      </c>
      <c r="G77" t="s">
        <v>1232</v>
      </c>
      <c r="H77">
        <v>1</v>
      </c>
    </row>
    <row r="78" spans="1:8" x14ac:dyDescent="0.25">
      <c r="A78" t="s">
        <v>1374</v>
      </c>
      <c r="B78" t="s">
        <v>434</v>
      </c>
      <c r="C78" t="s">
        <v>1004</v>
      </c>
      <c r="D78" t="s">
        <v>48</v>
      </c>
      <c r="E78" t="s">
        <v>1</v>
      </c>
      <c r="F78" t="s">
        <v>1375</v>
      </c>
      <c r="G78" t="s">
        <v>1232</v>
      </c>
      <c r="H78">
        <v>1</v>
      </c>
    </row>
    <row r="79" spans="1:8" x14ac:dyDescent="0.25">
      <c r="A79" t="s">
        <v>1376</v>
      </c>
      <c r="B79" t="s">
        <v>442</v>
      </c>
      <c r="C79" t="s">
        <v>1204</v>
      </c>
      <c r="D79" t="s">
        <v>58</v>
      </c>
      <c r="E79" t="s">
        <v>1</v>
      </c>
      <c r="F79" t="s">
        <v>1377</v>
      </c>
      <c r="G79" t="s">
        <v>1223</v>
      </c>
      <c r="H79">
        <v>2</v>
      </c>
    </row>
    <row r="80" spans="1:8" x14ac:dyDescent="0.25">
      <c r="A80" t="s">
        <v>1378</v>
      </c>
      <c r="B80" t="s">
        <v>451</v>
      </c>
      <c r="C80" t="s">
        <v>1012</v>
      </c>
      <c r="D80" t="s">
        <v>55</v>
      </c>
      <c r="E80" t="s">
        <v>1</v>
      </c>
      <c r="F80" t="s">
        <v>1379</v>
      </c>
      <c r="G80" t="s">
        <v>1223</v>
      </c>
      <c r="H80">
        <v>2</v>
      </c>
    </row>
    <row r="81" spans="1:8" x14ac:dyDescent="0.25">
      <c r="A81" t="s">
        <v>1380</v>
      </c>
      <c r="B81" t="s">
        <v>460</v>
      </c>
      <c r="C81" t="s">
        <v>1019</v>
      </c>
      <c r="D81" t="s">
        <v>55</v>
      </c>
      <c r="E81" t="s">
        <v>1</v>
      </c>
      <c r="F81" t="s">
        <v>1381</v>
      </c>
      <c r="G81" t="s">
        <v>1232</v>
      </c>
      <c r="H81">
        <v>1</v>
      </c>
    </row>
    <row r="82" spans="1:8" x14ac:dyDescent="0.25">
      <c r="A82" t="s">
        <v>1382</v>
      </c>
      <c r="B82" t="s">
        <v>469</v>
      </c>
      <c r="C82" t="s">
        <v>1026</v>
      </c>
      <c r="D82" t="s">
        <v>55</v>
      </c>
      <c r="E82" t="s">
        <v>1</v>
      </c>
      <c r="F82" t="s">
        <v>1383</v>
      </c>
      <c r="G82" t="s">
        <v>1223</v>
      </c>
      <c r="H82">
        <v>2</v>
      </c>
    </row>
    <row r="83" spans="1:8" x14ac:dyDescent="0.25">
      <c r="A83" t="s">
        <v>1384</v>
      </c>
      <c r="B83" t="s">
        <v>477</v>
      </c>
      <c r="C83" t="s">
        <v>1033</v>
      </c>
      <c r="D83" t="s">
        <v>55</v>
      </c>
      <c r="E83" t="s">
        <v>1</v>
      </c>
      <c r="F83" t="s">
        <v>1385</v>
      </c>
      <c r="G83" t="s">
        <v>1220</v>
      </c>
      <c r="H83">
        <v>3</v>
      </c>
    </row>
    <row r="84" spans="1:8" x14ac:dyDescent="0.25">
      <c r="A84" t="s">
        <v>1386</v>
      </c>
      <c r="B84" t="s">
        <v>486</v>
      </c>
      <c r="C84" t="s">
        <v>1041</v>
      </c>
      <c r="D84" t="s">
        <v>55</v>
      </c>
      <c r="E84" t="s">
        <v>1</v>
      </c>
      <c r="F84" t="s">
        <v>1387</v>
      </c>
      <c r="G84" t="s">
        <v>1223</v>
      </c>
      <c r="H84">
        <v>2</v>
      </c>
    </row>
    <row r="85" spans="1:8" x14ac:dyDescent="0.25">
      <c r="A85" t="s">
        <v>1388</v>
      </c>
      <c r="B85" t="s">
        <v>495</v>
      </c>
      <c r="C85" t="s">
        <v>1049</v>
      </c>
      <c r="D85" t="s">
        <v>48</v>
      </c>
      <c r="E85" t="s">
        <v>1</v>
      </c>
      <c r="F85" t="s">
        <v>1389</v>
      </c>
      <c r="G85" t="s">
        <v>1223</v>
      </c>
      <c r="H85">
        <v>2</v>
      </c>
    </row>
    <row r="86" spans="1:8" x14ac:dyDescent="0.25">
      <c r="A86" t="s">
        <v>1390</v>
      </c>
      <c r="B86" t="s">
        <v>504</v>
      </c>
      <c r="C86" t="s">
        <v>1057</v>
      </c>
      <c r="D86" t="s">
        <v>55</v>
      </c>
      <c r="E86" t="s">
        <v>1</v>
      </c>
      <c r="F86" t="s">
        <v>1391</v>
      </c>
      <c r="G86" t="s">
        <v>1223</v>
      </c>
      <c r="H86">
        <v>2</v>
      </c>
    </row>
    <row r="87" spans="1:8" x14ac:dyDescent="0.25">
      <c r="A87" t="s">
        <v>1392</v>
      </c>
      <c r="B87" t="s">
        <v>513</v>
      </c>
      <c r="C87" t="s">
        <v>1064</v>
      </c>
      <c r="D87" t="s">
        <v>55</v>
      </c>
      <c r="E87" t="s">
        <v>1</v>
      </c>
      <c r="F87" t="s">
        <v>1393</v>
      </c>
      <c r="G87" t="s">
        <v>1223</v>
      </c>
      <c r="H87">
        <v>2</v>
      </c>
    </row>
    <row r="88" spans="1:8" x14ac:dyDescent="0.25">
      <c r="A88" t="s">
        <v>1394</v>
      </c>
      <c r="B88" t="s">
        <v>522</v>
      </c>
      <c r="C88" t="s">
        <v>1071</v>
      </c>
      <c r="D88" t="s">
        <v>55</v>
      </c>
      <c r="E88" t="s">
        <v>1</v>
      </c>
      <c r="F88" t="s">
        <v>1395</v>
      </c>
      <c r="G88" t="s">
        <v>1279</v>
      </c>
      <c r="H88">
        <v>4</v>
      </c>
    </row>
    <row r="89" spans="1:8" x14ac:dyDescent="0.25">
      <c r="A89" t="s">
        <v>1396</v>
      </c>
      <c r="B89" t="s">
        <v>531</v>
      </c>
      <c r="C89" t="s">
        <v>1078</v>
      </c>
      <c r="D89" t="s">
        <v>55</v>
      </c>
      <c r="E89" t="s">
        <v>1</v>
      </c>
      <c r="F89" t="s">
        <v>1397</v>
      </c>
      <c r="G89" t="s">
        <v>1220</v>
      </c>
      <c r="H89">
        <v>3</v>
      </c>
    </row>
    <row r="90" spans="1:8" x14ac:dyDescent="0.25">
      <c r="A90" t="s">
        <v>1398</v>
      </c>
      <c r="B90" t="s">
        <v>540</v>
      </c>
      <c r="C90" t="s">
        <v>1086</v>
      </c>
      <c r="D90" t="s">
        <v>48</v>
      </c>
      <c r="E90" t="s">
        <v>1</v>
      </c>
      <c r="F90" t="s">
        <v>1399</v>
      </c>
      <c r="G90" t="s">
        <v>1220</v>
      </c>
      <c r="H90">
        <v>3</v>
      </c>
    </row>
    <row r="91" spans="1:8" x14ac:dyDescent="0.25">
      <c r="A91" t="s">
        <v>1400</v>
      </c>
      <c r="B91" t="s">
        <v>540</v>
      </c>
      <c r="C91" t="s">
        <v>1093</v>
      </c>
      <c r="D91" t="s">
        <v>48</v>
      </c>
      <c r="E91" t="s">
        <v>1</v>
      </c>
      <c r="F91" t="s">
        <v>1401</v>
      </c>
      <c r="G91" t="s">
        <v>1223</v>
      </c>
      <c r="H91">
        <v>2</v>
      </c>
    </row>
    <row r="92" spans="1:8" x14ac:dyDescent="0.25">
      <c r="A92" t="s">
        <v>1402</v>
      </c>
      <c r="B92" t="s">
        <v>549</v>
      </c>
      <c r="C92" t="s">
        <v>1101</v>
      </c>
      <c r="D92" t="s">
        <v>58</v>
      </c>
      <c r="E92" t="s">
        <v>1</v>
      </c>
      <c r="F92" t="s">
        <v>1403</v>
      </c>
      <c r="G92" t="s">
        <v>1220</v>
      </c>
      <c r="H92">
        <v>3</v>
      </c>
    </row>
    <row r="93" spans="1:8" x14ac:dyDescent="0.25">
      <c r="A93" t="s">
        <v>1404</v>
      </c>
      <c r="B93" t="s">
        <v>549</v>
      </c>
      <c r="C93" t="s">
        <v>1108</v>
      </c>
      <c r="D93" t="s">
        <v>55</v>
      </c>
      <c r="E93" t="s">
        <v>1</v>
      </c>
      <c r="F93" t="s">
        <v>1405</v>
      </c>
      <c r="G93" t="s">
        <v>1223</v>
      </c>
      <c r="H93">
        <v>2</v>
      </c>
    </row>
    <row r="94" spans="1:8" x14ac:dyDescent="0.25">
      <c r="A94" t="s">
        <v>1406</v>
      </c>
      <c r="B94" t="s">
        <v>558</v>
      </c>
      <c r="C94" t="s">
        <v>1115</v>
      </c>
      <c r="D94" t="s">
        <v>51</v>
      </c>
      <c r="E94" t="s">
        <v>1</v>
      </c>
      <c r="F94" t="s">
        <v>1407</v>
      </c>
      <c r="G94" t="s">
        <v>1223</v>
      </c>
      <c r="H94">
        <v>2</v>
      </c>
    </row>
    <row r="95" spans="1:8" x14ac:dyDescent="0.25">
      <c r="A95" t="s">
        <v>1408</v>
      </c>
      <c r="B95" t="s">
        <v>567</v>
      </c>
      <c r="C95" t="s">
        <v>1122</v>
      </c>
      <c r="D95" t="s">
        <v>51</v>
      </c>
      <c r="E95" t="s">
        <v>1</v>
      </c>
      <c r="F95" t="s">
        <v>1409</v>
      </c>
      <c r="G95" t="s">
        <v>1223</v>
      </c>
      <c r="H95">
        <v>2</v>
      </c>
    </row>
    <row r="96" spans="1:8" x14ac:dyDescent="0.25">
      <c r="A96" t="s">
        <v>1410</v>
      </c>
      <c r="B96" t="s">
        <v>576</v>
      </c>
      <c r="C96" t="s">
        <v>1129</v>
      </c>
      <c r="D96" t="s">
        <v>51</v>
      </c>
      <c r="E96" t="s">
        <v>1</v>
      </c>
      <c r="F96" t="s">
        <v>1411</v>
      </c>
      <c r="G96" t="s">
        <v>1223</v>
      </c>
      <c r="H96">
        <v>2</v>
      </c>
    </row>
    <row r="97" spans="1:8" x14ac:dyDescent="0.25">
      <c r="A97" t="s">
        <v>1412</v>
      </c>
      <c r="B97" t="s">
        <v>584</v>
      </c>
      <c r="C97" t="s">
        <v>1136</v>
      </c>
      <c r="D97" t="s">
        <v>58</v>
      </c>
      <c r="E97" t="s">
        <v>1</v>
      </c>
      <c r="F97" t="s">
        <v>1413</v>
      </c>
      <c r="G97" t="s">
        <v>1220</v>
      </c>
      <c r="H97">
        <v>3</v>
      </c>
    </row>
    <row r="98" spans="1:8" x14ac:dyDescent="0.25">
      <c r="A98" t="s">
        <v>1414</v>
      </c>
      <c r="B98" t="s">
        <v>584</v>
      </c>
      <c r="C98" t="s">
        <v>1144</v>
      </c>
      <c r="D98" t="s">
        <v>51</v>
      </c>
      <c r="E98" t="s">
        <v>1</v>
      </c>
      <c r="F98" t="s">
        <v>1415</v>
      </c>
      <c r="G98" t="s">
        <v>1223</v>
      </c>
      <c r="H98">
        <v>2</v>
      </c>
    </row>
    <row r="99" spans="1:8" x14ac:dyDescent="0.25">
      <c r="A99" t="s">
        <v>1416</v>
      </c>
      <c r="B99" t="s">
        <v>593</v>
      </c>
      <c r="C99" t="s">
        <v>1152</v>
      </c>
      <c r="D99" t="s">
        <v>58</v>
      </c>
      <c r="E99" t="s">
        <v>1</v>
      </c>
      <c r="F99" t="s">
        <v>1417</v>
      </c>
      <c r="G99" t="s">
        <v>1220</v>
      </c>
      <c r="H99">
        <v>3</v>
      </c>
    </row>
    <row r="100" spans="1:8" x14ac:dyDescent="0.25">
      <c r="A100" t="s">
        <v>1418</v>
      </c>
      <c r="B100" t="s">
        <v>602</v>
      </c>
      <c r="C100" t="s">
        <v>1158</v>
      </c>
      <c r="D100" t="s">
        <v>58</v>
      </c>
      <c r="E100" t="s">
        <v>1</v>
      </c>
      <c r="F100" t="s">
        <v>1419</v>
      </c>
      <c r="G100" t="s">
        <v>1232</v>
      </c>
      <c r="H100">
        <v>1</v>
      </c>
    </row>
    <row r="101" spans="1:8" x14ac:dyDescent="0.25">
      <c r="A101" t="s">
        <v>1420</v>
      </c>
      <c r="B101" t="s">
        <v>611</v>
      </c>
      <c r="C101" t="s">
        <v>1166</v>
      </c>
      <c r="D101" t="s">
        <v>58</v>
      </c>
      <c r="E101" t="s">
        <v>1</v>
      </c>
      <c r="F101" t="s">
        <v>1421</v>
      </c>
      <c r="G101" t="s">
        <v>1223</v>
      </c>
      <c r="H101">
        <v>2</v>
      </c>
    </row>
    <row r="102" spans="1:8" x14ac:dyDescent="0.25">
      <c r="A102" t="s">
        <v>1422</v>
      </c>
      <c r="B102" t="s">
        <v>620</v>
      </c>
      <c r="C102" t="s">
        <v>1173</v>
      </c>
      <c r="D102" t="s">
        <v>51</v>
      </c>
      <c r="E102" t="s">
        <v>1</v>
      </c>
      <c r="F102" t="s">
        <v>1423</v>
      </c>
      <c r="G102" t="s">
        <v>1223</v>
      </c>
      <c r="H102">
        <v>2</v>
      </c>
    </row>
    <row r="103" spans="1:8" x14ac:dyDescent="0.25">
      <c r="A103" t="s">
        <v>1424</v>
      </c>
      <c r="B103" t="s">
        <v>628</v>
      </c>
      <c r="C103" t="s">
        <v>1180</v>
      </c>
      <c r="D103" t="s">
        <v>51</v>
      </c>
      <c r="E103" t="s">
        <v>1</v>
      </c>
      <c r="F103" t="s">
        <v>1425</v>
      </c>
      <c r="G103" t="s">
        <v>1232</v>
      </c>
      <c r="H103">
        <v>1</v>
      </c>
    </row>
    <row r="104" spans="1:8" x14ac:dyDescent="0.25">
      <c r="A104" t="s">
        <v>1426</v>
      </c>
      <c r="B104" t="s">
        <v>637</v>
      </c>
      <c r="C104" t="s">
        <v>1187</v>
      </c>
      <c r="D104" t="s">
        <v>51</v>
      </c>
      <c r="E104" t="s">
        <v>1</v>
      </c>
      <c r="F104" t="s">
        <v>1427</v>
      </c>
      <c r="G104" t="s">
        <v>1232</v>
      </c>
      <c r="H104">
        <v>1</v>
      </c>
    </row>
    <row r="105" spans="1:8" x14ac:dyDescent="0.25">
      <c r="A105" t="s">
        <v>1428</v>
      </c>
      <c r="B105" t="s">
        <v>646</v>
      </c>
      <c r="C105" t="s">
        <v>1195</v>
      </c>
      <c r="D105" t="s">
        <v>58</v>
      </c>
      <c r="E105" t="s">
        <v>1</v>
      </c>
      <c r="F105" t="s">
        <v>1429</v>
      </c>
      <c r="G105" t="s">
        <v>1223</v>
      </c>
      <c r="H105">
        <v>2</v>
      </c>
    </row>
    <row r="106" spans="1:8" x14ac:dyDescent="0.25">
      <c r="A106" t="s">
        <v>1430</v>
      </c>
      <c r="B106" t="s">
        <v>656</v>
      </c>
      <c r="C106" t="s">
        <v>1129</v>
      </c>
      <c r="D106" t="s">
        <v>51</v>
      </c>
      <c r="E106" t="s">
        <v>1</v>
      </c>
      <c r="F106" t="s">
        <v>1431</v>
      </c>
      <c r="G106" t="s">
        <v>1223</v>
      </c>
      <c r="H106">
        <v>2</v>
      </c>
    </row>
    <row r="107" spans="1:8" x14ac:dyDescent="0.25">
      <c r="A107" t="s">
        <v>1432</v>
      </c>
      <c r="B107" t="s">
        <v>301</v>
      </c>
      <c r="C107" t="s">
        <v>120</v>
      </c>
      <c r="D107" t="s">
        <v>62</v>
      </c>
      <c r="E107" t="s">
        <v>1</v>
      </c>
      <c r="F107" t="s">
        <v>1433</v>
      </c>
      <c r="G107" t="s">
        <v>1223</v>
      </c>
      <c r="H107">
        <v>2</v>
      </c>
    </row>
    <row r="108" spans="1:8" x14ac:dyDescent="0.25">
      <c r="A108" t="s">
        <v>1434</v>
      </c>
      <c r="B108" t="s">
        <v>301</v>
      </c>
      <c r="C108" t="s">
        <v>310</v>
      </c>
      <c r="D108" t="s">
        <v>62</v>
      </c>
      <c r="E108" t="s">
        <v>1</v>
      </c>
      <c r="F108" t="s">
        <v>1435</v>
      </c>
      <c r="G108" t="s">
        <v>1232</v>
      </c>
      <c r="H108">
        <v>1</v>
      </c>
    </row>
    <row r="109" spans="1:8" x14ac:dyDescent="0.25">
      <c r="A109" t="s">
        <v>1436</v>
      </c>
      <c r="B109" t="s">
        <v>310</v>
      </c>
      <c r="C109" t="s">
        <v>319</v>
      </c>
      <c r="D109" t="s">
        <v>62</v>
      </c>
      <c r="E109" t="s">
        <v>1</v>
      </c>
      <c r="F109" t="s">
        <v>1437</v>
      </c>
      <c r="G109" t="s">
        <v>1232</v>
      </c>
      <c r="H109">
        <v>1</v>
      </c>
    </row>
    <row r="110" spans="1:8" x14ac:dyDescent="0.25">
      <c r="A110" t="s">
        <v>1438</v>
      </c>
      <c r="B110" t="s">
        <v>319</v>
      </c>
      <c r="C110" t="s">
        <v>328</v>
      </c>
      <c r="D110" t="s">
        <v>62</v>
      </c>
      <c r="E110" t="s">
        <v>1</v>
      </c>
      <c r="F110" t="s">
        <v>1439</v>
      </c>
      <c r="G110" t="s">
        <v>1232</v>
      </c>
      <c r="H110">
        <v>1</v>
      </c>
    </row>
    <row r="111" spans="1:8" x14ac:dyDescent="0.25">
      <c r="A111" t="s">
        <v>1440</v>
      </c>
      <c r="B111" t="s">
        <v>328</v>
      </c>
      <c r="C111" t="s">
        <v>337</v>
      </c>
      <c r="D111" t="s">
        <v>62</v>
      </c>
      <c r="E111" t="s">
        <v>1</v>
      </c>
      <c r="F111" t="s">
        <v>1441</v>
      </c>
      <c r="G111" t="s">
        <v>1232</v>
      </c>
      <c r="H111">
        <v>1</v>
      </c>
    </row>
    <row r="112" spans="1:8" x14ac:dyDescent="0.25">
      <c r="A112" t="s">
        <v>1442</v>
      </c>
      <c r="B112" t="s">
        <v>328</v>
      </c>
      <c r="C112" t="s">
        <v>120</v>
      </c>
      <c r="D112" t="s">
        <v>62</v>
      </c>
      <c r="E112" t="s">
        <v>1</v>
      </c>
      <c r="F112" t="s">
        <v>1443</v>
      </c>
      <c r="G112" t="s">
        <v>1223</v>
      </c>
      <c r="H112">
        <v>2</v>
      </c>
    </row>
    <row r="113" spans="1:8" x14ac:dyDescent="0.25">
      <c r="A113" t="s">
        <v>1444</v>
      </c>
      <c r="B113" t="s">
        <v>346</v>
      </c>
      <c r="C113" t="s">
        <v>120</v>
      </c>
      <c r="D113" t="s">
        <v>62</v>
      </c>
      <c r="E113" t="s">
        <v>1</v>
      </c>
      <c r="F113" t="s">
        <v>1445</v>
      </c>
      <c r="G113" t="s">
        <v>1223</v>
      </c>
      <c r="H113">
        <v>2</v>
      </c>
    </row>
    <row r="114" spans="1:8" x14ac:dyDescent="0.25">
      <c r="A114" t="s">
        <v>1446</v>
      </c>
      <c r="B114" t="s">
        <v>346</v>
      </c>
      <c r="C114" t="s">
        <v>355</v>
      </c>
      <c r="D114" t="s">
        <v>62</v>
      </c>
      <c r="E114" t="s">
        <v>1</v>
      </c>
      <c r="F114" t="s">
        <v>1447</v>
      </c>
      <c r="G114" t="s">
        <v>1223</v>
      </c>
      <c r="H114">
        <v>2</v>
      </c>
    </row>
    <row r="115" spans="1:8" x14ac:dyDescent="0.25">
      <c r="A115" t="s">
        <v>1448</v>
      </c>
      <c r="B115" t="s">
        <v>355</v>
      </c>
      <c r="C115" t="s">
        <v>364</v>
      </c>
      <c r="D115" t="s">
        <v>62</v>
      </c>
      <c r="E115" t="s">
        <v>1</v>
      </c>
      <c r="F115" t="s">
        <v>1449</v>
      </c>
      <c r="G115" t="s">
        <v>1223</v>
      </c>
      <c r="H115">
        <v>2</v>
      </c>
    </row>
    <row r="116" spans="1:8" x14ac:dyDescent="0.25">
      <c r="A116" t="s">
        <v>1450</v>
      </c>
      <c r="B116" t="s">
        <v>364</v>
      </c>
      <c r="C116" t="s">
        <v>417</v>
      </c>
      <c r="D116" t="s">
        <v>62</v>
      </c>
      <c r="E116" t="s">
        <v>1</v>
      </c>
      <c r="F116" t="s">
        <v>1451</v>
      </c>
      <c r="G116" t="s">
        <v>1232</v>
      </c>
      <c r="H116">
        <v>1</v>
      </c>
    </row>
    <row r="117" spans="1:8" x14ac:dyDescent="0.25">
      <c r="A117" t="s">
        <v>1452</v>
      </c>
      <c r="B117" t="s">
        <v>372</v>
      </c>
      <c r="C117" t="s">
        <v>346</v>
      </c>
      <c r="D117" t="s">
        <v>62</v>
      </c>
      <c r="E117" t="s">
        <v>1</v>
      </c>
      <c r="F117" t="s">
        <v>1453</v>
      </c>
      <c r="G117" t="s">
        <v>1232</v>
      </c>
      <c r="H117">
        <v>1</v>
      </c>
    </row>
    <row r="118" spans="1:8" x14ac:dyDescent="0.25">
      <c r="A118" t="s">
        <v>1454</v>
      </c>
      <c r="B118" t="s">
        <v>382</v>
      </c>
      <c r="C118" t="s">
        <v>282</v>
      </c>
      <c r="D118" t="s">
        <v>67</v>
      </c>
      <c r="E118" t="s">
        <v>1</v>
      </c>
      <c r="F118" t="s">
        <v>1455</v>
      </c>
      <c r="G118" t="s">
        <v>1223</v>
      </c>
      <c r="H118">
        <v>2</v>
      </c>
    </row>
    <row r="119" spans="1:8" x14ac:dyDescent="0.25">
      <c r="A119" t="s">
        <v>1456</v>
      </c>
      <c r="B119" t="s">
        <v>382</v>
      </c>
      <c r="C119" t="s">
        <v>549</v>
      </c>
      <c r="D119" t="s">
        <v>77</v>
      </c>
      <c r="E119" t="s">
        <v>1</v>
      </c>
      <c r="F119" t="s">
        <v>1457</v>
      </c>
      <c r="G119" t="s">
        <v>1223</v>
      </c>
      <c r="H119">
        <v>2</v>
      </c>
    </row>
    <row r="120" spans="1:8" x14ac:dyDescent="0.25">
      <c r="A120" t="s">
        <v>1458</v>
      </c>
      <c r="B120" t="s">
        <v>391</v>
      </c>
      <c r="C120" t="s">
        <v>400</v>
      </c>
      <c r="D120" t="s">
        <v>77</v>
      </c>
      <c r="E120" t="s">
        <v>1</v>
      </c>
      <c r="F120" t="s">
        <v>1459</v>
      </c>
      <c r="G120" t="s">
        <v>1232</v>
      </c>
      <c r="H120">
        <v>1</v>
      </c>
    </row>
    <row r="121" spans="1:8" x14ac:dyDescent="0.25">
      <c r="A121" t="s">
        <v>1460</v>
      </c>
      <c r="B121" t="s">
        <v>391</v>
      </c>
      <c r="C121" t="s">
        <v>434</v>
      </c>
      <c r="D121" t="s">
        <v>77</v>
      </c>
      <c r="E121" t="s">
        <v>1</v>
      </c>
      <c r="F121" t="s">
        <v>1461</v>
      </c>
      <c r="G121" t="s">
        <v>1232</v>
      </c>
      <c r="H121">
        <v>1</v>
      </c>
    </row>
    <row r="122" spans="1:8" x14ac:dyDescent="0.25">
      <c r="A122" t="s">
        <v>1462</v>
      </c>
      <c r="B122" t="s">
        <v>409</v>
      </c>
      <c r="C122" t="s">
        <v>391</v>
      </c>
      <c r="D122" t="s">
        <v>77</v>
      </c>
      <c r="E122" t="s">
        <v>1</v>
      </c>
      <c r="F122" t="s">
        <v>1463</v>
      </c>
      <c r="G122" t="s">
        <v>1232</v>
      </c>
      <c r="H122">
        <v>1</v>
      </c>
    </row>
    <row r="123" spans="1:8" x14ac:dyDescent="0.25">
      <c r="A123" t="s">
        <v>1464</v>
      </c>
      <c r="B123" t="s">
        <v>417</v>
      </c>
      <c r="C123" t="s">
        <v>355</v>
      </c>
      <c r="D123" t="s">
        <v>62</v>
      </c>
      <c r="E123" t="s">
        <v>1</v>
      </c>
      <c r="F123" t="s">
        <v>1465</v>
      </c>
      <c r="G123" t="s">
        <v>1232</v>
      </c>
      <c r="H123">
        <v>1</v>
      </c>
    </row>
    <row r="124" spans="1:8" x14ac:dyDescent="0.25">
      <c r="A124" t="s">
        <v>1466</v>
      </c>
      <c r="B124" t="s">
        <v>425</v>
      </c>
      <c r="C124" t="s">
        <v>139</v>
      </c>
      <c r="D124" t="s">
        <v>77</v>
      </c>
      <c r="E124" t="s">
        <v>1</v>
      </c>
      <c r="F124" t="s">
        <v>1467</v>
      </c>
      <c r="G124" t="s">
        <v>1223</v>
      </c>
      <c r="H124">
        <v>2</v>
      </c>
    </row>
    <row r="125" spans="1:8" x14ac:dyDescent="0.25">
      <c r="A125" t="s">
        <v>1468</v>
      </c>
      <c r="B125" t="s">
        <v>434</v>
      </c>
      <c r="C125" t="s">
        <v>409</v>
      </c>
      <c r="D125" t="s">
        <v>77</v>
      </c>
      <c r="E125" t="s">
        <v>1</v>
      </c>
      <c r="F125" t="s">
        <v>1469</v>
      </c>
      <c r="G125" t="s">
        <v>1232</v>
      </c>
      <c r="H125">
        <v>1</v>
      </c>
    </row>
    <row r="126" spans="1:8" x14ac:dyDescent="0.25">
      <c r="A126" t="s">
        <v>1470</v>
      </c>
      <c r="B126" t="s">
        <v>451</v>
      </c>
      <c r="C126" t="s">
        <v>226</v>
      </c>
      <c r="D126" t="s">
        <v>72</v>
      </c>
      <c r="E126" t="s">
        <v>1</v>
      </c>
      <c r="F126" t="s">
        <v>1471</v>
      </c>
      <c r="G126" t="s">
        <v>1223</v>
      </c>
      <c r="H126">
        <v>2</v>
      </c>
    </row>
    <row r="127" spans="1:8" x14ac:dyDescent="0.25">
      <c r="A127" t="s">
        <v>1472</v>
      </c>
      <c r="B127" t="s">
        <v>451</v>
      </c>
      <c r="C127" t="s">
        <v>460</v>
      </c>
      <c r="D127" t="s">
        <v>72</v>
      </c>
      <c r="E127" t="s">
        <v>1</v>
      </c>
      <c r="F127" t="s">
        <v>1473</v>
      </c>
      <c r="G127" t="s">
        <v>1232</v>
      </c>
      <c r="H127">
        <v>1</v>
      </c>
    </row>
    <row r="128" spans="1:8" x14ac:dyDescent="0.25">
      <c r="A128" t="s">
        <v>1474</v>
      </c>
      <c r="B128" t="s">
        <v>460</v>
      </c>
      <c r="C128" t="s">
        <v>108</v>
      </c>
      <c r="D128" t="s">
        <v>72</v>
      </c>
      <c r="E128" t="s">
        <v>1</v>
      </c>
      <c r="F128" t="s">
        <v>1475</v>
      </c>
      <c r="G128" t="s">
        <v>1232</v>
      </c>
      <c r="H128">
        <v>1</v>
      </c>
    </row>
    <row r="129" spans="1:8" x14ac:dyDescent="0.25">
      <c r="A129" t="s">
        <v>1476</v>
      </c>
      <c r="B129" t="s">
        <v>469</v>
      </c>
      <c r="C129" t="s">
        <v>188</v>
      </c>
      <c r="D129" t="s">
        <v>72</v>
      </c>
      <c r="E129" t="s">
        <v>1</v>
      </c>
      <c r="F129" t="s">
        <v>1477</v>
      </c>
      <c r="G129" t="s">
        <v>1223</v>
      </c>
      <c r="H129">
        <v>2</v>
      </c>
    </row>
    <row r="130" spans="1:8" x14ac:dyDescent="0.25">
      <c r="A130" t="s">
        <v>1478</v>
      </c>
      <c r="B130" t="s">
        <v>469</v>
      </c>
      <c r="C130" t="s">
        <v>477</v>
      </c>
      <c r="D130" t="s">
        <v>72</v>
      </c>
      <c r="E130" t="s">
        <v>1</v>
      </c>
      <c r="F130" t="s">
        <v>1479</v>
      </c>
      <c r="G130" t="s">
        <v>1223</v>
      </c>
      <c r="H130">
        <v>2</v>
      </c>
    </row>
    <row r="131" spans="1:8" x14ac:dyDescent="0.25">
      <c r="A131" t="s">
        <v>1480</v>
      </c>
      <c r="B131" t="s">
        <v>477</v>
      </c>
      <c r="C131" t="s">
        <v>208</v>
      </c>
      <c r="D131" t="s">
        <v>72</v>
      </c>
      <c r="E131" t="s">
        <v>1</v>
      </c>
      <c r="F131" t="s">
        <v>1481</v>
      </c>
      <c r="G131" t="s">
        <v>1223</v>
      </c>
      <c r="H131">
        <v>2</v>
      </c>
    </row>
    <row r="132" spans="1:8" x14ac:dyDescent="0.25">
      <c r="A132" t="s">
        <v>1482</v>
      </c>
      <c r="B132" t="s">
        <v>486</v>
      </c>
      <c r="C132" t="s">
        <v>217</v>
      </c>
      <c r="D132" t="s">
        <v>72</v>
      </c>
      <c r="E132" t="s">
        <v>1</v>
      </c>
      <c r="F132" t="s">
        <v>1483</v>
      </c>
      <c r="G132" t="s">
        <v>1232</v>
      </c>
      <c r="H132">
        <v>1</v>
      </c>
    </row>
    <row r="133" spans="1:8" x14ac:dyDescent="0.25">
      <c r="A133" t="s">
        <v>1484</v>
      </c>
      <c r="B133" t="s">
        <v>495</v>
      </c>
      <c r="C133" t="s">
        <v>217</v>
      </c>
      <c r="D133" t="s">
        <v>72</v>
      </c>
      <c r="E133" t="s">
        <v>1</v>
      </c>
      <c r="F133" t="s">
        <v>1485</v>
      </c>
      <c r="G133" t="s">
        <v>1232</v>
      </c>
      <c r="H133">
        <v>1</v>
      </c>
    </row>
    <row r="134" spans="1:8" x14ac:dyDescent="0.25">
      <c r="A134" t="s">
        <v>1486</v>
      </c>
      <c r="B134" t="s">
        <v>495</v>
      </c>
      <c r="C134" t="s">
        <v>301</v>
      </c>
      <c r="D134" t="s">
        <v>72</v>
      </c>
      <c r="E134" t="s">
        <v>1</v>
      </c>
      <c r="F134" t="s">
        <v>1487</v>
      </c>
      <c r="G134" t="s">
        <v>1232</v>
      </c>
      <c r="H134">
        <v>1</v>
      </c>
    </row>
    <row r="135" spans="1:8" x14ac:dyDescent="0.25">
      <c r="A135" t="s">
        <v>1488</v>
      </c>
      <c r="B135" t="s">
        <v>504</v>
      </c>
      <c r="C135" t="s">
        <v>208</v>
      </c>
      <c r="D135" t="s">
        <v>72</v>
      </c>
      <c r="E135" t="s">
        <v>1</v>
      </c>
      <c r="F135" t="s">
        <v>1489</v>
      </c>
      <c r="G135" t="s">
        <v>1232</v>
      </c>
      <c r="H135">
        <v>1</v>
      </c>
    </row>
    <row r="136" spans="1:8" x14ac:dyDescent="0.25">
      <c r="A136" t="s">
        <v>1490</v>
      </c>
      <c r="B136" t="s">
        <v>513</v>
      </c>
      <c r="C136" t="s">
        <v>504</v>
      </c>
      <c r="D136" t="s">
        <v>72</v>
      </c>
      <c r="E136" t="s">
        <v>1</v>
      </c>
      <c r="F136" t="s">
        <v>1491</v>
      </c>
      <c r="G136" t="s">
        <v>1223</v>
      </c>
      <c r="H136">
        <v>2</v>
      </c>
    </row>
    <row r="137" spans="1:8" x14ac:dyDescent="0.25">
      <c r="A137" t="s">
        <v>1492</v>
      </c>
      <c r="B137" t="s">
        <v>522</v>
      </c>
      <c r="C137" t="s">
        <v>226</v>
      </c>
      <c r="D137" t="s">
        <v>72</v>
      </c>
      <c r="E137" t="s">
        <v>1</v>
      </c>
      <c r="F137" t="s">
        <v>1493</v>
      </c>
      <c r="G137" t="s">
        <v>1223</v>
      </c>
      <c r="H137">
        <v>2</v>
      </c>
    </row>
    <row r="138" spans="1:8" x14ac:dyDescent="0.25">
      <c r="A138" t="s">
        <v>1494</v>
      </c>
      <c r="B138" t="s">
        <v>531</v>
      </c>
      <c r="C138" t="s">
        <v>522</v>
      </c>
      <c r="D138" t="s">
        <v>72</v>
      </c>
      <c r="E138" t="s">
        <v>1</v>
      </c>
      <c r="F138" t="s">
        <v>1495</v>
      </c>
      <c r="G138" t="s">
        <v>1232</v>
      </c>
      <c r="H138">
        <v>1</v>
      </c>
    </row>
    <row r="139" spans="1:8" x14ac:dyDescent="0.25">
      <c r="A139" t="s">
        <v>1496</v>
      </c>
      <c r="B139" t="s">
        <v>540</v>
      </c>
      <c r="C139" t="s">
        <v>108</v>
      </c>
      <c r="D139" t="s">
        <v>72</v>
      </c>
      <c r="E139" t="s">
        <v>1</v>
      </c>
      <c r="F139" t="s">
        <v>1497</v>
      </c>
      <c r="G139" t="s">
        <v>1220</v>
      </c>
      <c r="H139">
        <v>3</v>
      </c>
    </row>
    <row r="140" spans="1:8" x14ac:dyDescent="0.25">
      <c r="A140" t="s">
        <v>1498</v>
      </c>
      <c r="B140" t="s">
        <v>540</v>
      </c>
      <c r="C140" t="s">
        <v>226</v>
      </c>
      <c r="D140" t="s">
        <v>72</v>
      </c>
      <c r="E140" t="s">
        <v>1</v>
      </c>
      <c r="F140" t="s">
        <v>1499</v>
      </c>
      <c r="G140" t="s">
        <v>1232</v>
      </c>
      <c r="H140">
        <v>1</v>
      </c>
    </row>
    <row r="141" spans="1:8" x14ac:dyDescent="0.25">
      <c r="A141" t="s">
        <v>1500</v>
      </c>
      <c r="B141" t="s">
        <v>646</v>
      </c>
      <c r="C141" t="s">
        <v>273</v>
      </c>
      <c r="D141" t="s">
        <v>67</v>
      </c>
      <c r="E141" t="s">
        <v>1</v>
      </c>
      <c r="F141" t="s">
        <v>1501</v>
      </c>
      <c r="G141" t="s">
        <v>1223</v>
      </c>
      <c r="H141">
        <v>2</v>
      </c>
    </row>
    <row r="142" spans="1:8" x14ac:dyDescent="0.25">
      <c r="A142" t="s">
        <v>1502</v>
      </c>
      <c r="B142" t="s">
        <v>558</v>
      </c>
      <c r="C142" t="s">
        <v>567</v>
      </c>
      <c r="D142" t="s">
        <v>67</v>
      </c>
      <c r="E142" t="s">
        <v>1</v>
      </c>
      <c r="F142" t="s">
        <v>1503</v>
      </c>
      <c r="G142" t="s">
        <v>1223</v>
      </c>
      <c r="H142">
        <v>2</v>
      </c>
    </row>
    <row r="143" spans="1:8" x14ac:dyDescent="0.25">
      <c r="A143" t="s">
        <v>1504</v>
      </c>
      <c r="B143" t="s">
        <v>567</v>
      </c>
      <c r="C143" t="s">
        <v>130</v>
      </c>
      <c r="D143" t="s">
        <v>67</v>
      </c>
      <c r="E143" t="s">
        <v>1</v>
      </c>
      <c r="F143" t="s">
        <v>1505</v>
      </c>
      <c r="G143" t="s">
        <v>1223</v>
      </c>
      <c r="H143">
        <v>2</v>
      </c>
    </row>
    <row r="144" spans="1:8" x14ac:dyDescent="0.25">
      <c r="A144" t="s">
        <v>1506</v>
      </c>
      <c r="B144" t="s">
        <v>567</v>
      </c>
      <c r="C144" t="s">
        <v>217</v>
      </c>
      <c r="D144" t="s">
        <v>67</v>
      </c>
      <c r="E144" t="s">
        <v>1</v>
      </c>
      <c r="F144" t="s">
        <v>1507</v>
      </c>
      <c r="G144" t="s">
        <v>1232</v>
      </c>
      <c r="H144">
        <v>1</v>
      </c>
    </row>
    <row r="145" spans="1:8" x14ac:dyDescent="0.25">
      <c r="A145" t="s">
        <v>1508</v>
      </c>
      <c r="B145" t="s">
        <v>576</v>
      </c>
      <c r="C145" t="s">
        <v>656</v>
      </c>
      <c r="D145" t="s">
        <v>67</v>
      </c>
      <c r="E145" t="s">
        <v>1</v>
      </c>
      <c r="F145" t="s">
        <v>1509</v>
      </c>
      <c r="G145" t="s">
        <v>1223</v>
      </c>
      <c r="H145">
        <v>2</v>
      </c>
    </row>
    <row r="146" spans="1:8" x14ac:dyDescent="0.25">
      <c r="A146" t="s">
        <v>1510</v>
      </c>
      <c r="B146" t="s">
        <v>576</v>
      </c>
      <c r="C146" t="s">
        <v>264</v>
      </c>
      <c r="D146" t="s">
        <v>67</v>
      </c>
      <c r="E146" t="s">
        <v>1</v>
      </c>
      <c r="F146" t="s">
        <v>1511</v>
      </c>
      <c r="G146" t="s">
        <v>1223</v>
      </c>
      <c r="H146">
        <v>2</v>
      </c>
    </row>
    <row r="147" spans="1:8" x14ac:dyDescent="0.25">
      <c r="A147" t="s">
        <v>1512</v>
      </c>
      <c r="B147" t="s">
        <v>584</v>
      </c>
      <c r="C147" t="s">
        <v>264</v>
      </c>
      <c r="D147" t="s">
        <v>67</v>
      </c>
      <c r="E147" t="s">
        <v>1</v>
      </c>
      <c r="F147" t="s">
        <v>1513</v>
      </c>
      <c r="G147" t="s">
        <v>1232</v>
      </c>
      <c r="H147">
        <v>1</v>
      </c>
    </row>
    <row r="148" spans="1:8" x14ac:dyDescent="0.25">
      <c r="A148" t="s">
        <v>1514</v>
      </c>
      <c r="B148" t="s">
        <v>593</v>
      </c>
      <c r="C148" t="s">
        <v>226</v>
      </c>
      <c r="D148" t="s">
        <v>67</v>
      </c>
      <c r="E148" t="s">
        <v>1</v>
      </c>
      <c r="F148" t="s">
        <v>1515</v>
      </c>
      <c r="G148" t="s">
        <v>1223</v>
      </c>
      <c r="H148">
        <v>2</v>
      </c>
    </row>
    <row r="149" spans="1:8" x14ac:dyDescent="0.25">
      <c r="A149" t="s">
        <v>1516</v>
      </c>
      <c r="B149" t="s">
        <v>593</v>
      </c>
      <c r="C149" t="s">
        <v>584</v>
      </c>
      <c r="D149" t="s">
        <v>67</v>
      </c>
      <c r="E149" t="s">
        <v>1</v>
      </c>
      <c r="F149" t="s">
        <v>1517</v>
      </c>
      <c r="G149" t="s">
        <v>1232</v>
      </c>
      <c r="H149">
        <v>1</v>
      </c>
    </row>
    <row r="150" spans="1:8" x14ac:dyDescent="0.25">
      <c r="A150" t="s">
        <v>1518</v>
      </c>
      <c r="B150" t="s">
        <v>602</v>
      </c>
      <c r="C150" t="s">
        <v>188</v>
      </c>
      <c r="D150" t="s">
        <v>67</v>
      </c>
      <c r="E150" t="s">
        <v>1</v>
      </c>
      <c r="F150" t="s">
        <v>1519</v>
      </c>
      <c r="G150" t="s">
        <v>1232</v>
      </c>
      <c r="H150">
        <v>1</v>
      </c>
    </row>
    <row r="151" spans="1:8" x14ac:dyDescent="0.25">
      <c r="A151" t="s">
        <v>1520</v>
      </c>
      <c r="B151" t="s">
        <v>611</v>
      </c>
      <c r="C151" t="s">
        <v>382</v>
      </c>
      <c r="D151" t="s">
        <v>67</v>
      </c>
      <c r="E151" t="s">
        <v>1</v>
      </c>
      <c r="F151" t="s">
        <v>1521</v>
      </c>
      <c r="G151" t="s">
        <v>1232</v>
      </c>
      <c r="H151">
        <v>1</v>
      </c>
    </row>
    <row r="152" spans="1:8" x14ac:dyDescent="0.25">
      <c r="A152" t="s">
        <v>1522</v>
      </c>
      <c r="B152" t="s">
        <v>620</v>
      </c>
      <c r="C152" t="s">
        <v>273</v>
      </c>
      <c r="D152" t="s">
        <v>67</v>
      </c>
      <c r="E152" t="s">
        <v>1</v>
      </c>
      <c r="F152" t="s">
        <v>1523</v>
      </c>
      <c r="G152" t="s">
        <v>1223</v>
      </c>
      <c r="H152">
        <v>2</v>
      </c>
    </row>
    <row r="153" spans="1:8" x14ac:dyDescent="0.25">
      <c r="A153" t="s">
        <v>1524</v>
      </c>
      <c r="B153" t="s">
        <v>628</v>
      </c>
      <c r="C153" t="s">
        <v>620</v>
      </c>
      <c r="D153" t="s">
        <v>67</v>
      </c>
      <c r="E153" t="s">
        <v>1</v>
      </c>
      <c r="F153" t="s">
        <v>1525</v>
      </c>
      <c r="G153" t="s">
        <v>1232</v>
      </c>
      <c r="H153">
        <v>1</v>
      </c>
    </row>
    <row r="154" spans="1:8" x14ac:dyDescent="0.25">
      <c r="A154" t="s">
        <v>1526</v>
      </c>
      <c r="B154" t="s">
        <v>628</v>
      </c>
      <c r="C154" t="s">
        <v>264</v>
      </c>
      <c r="D154" t="s">
        <v>67</v>
      </c>
      <c r="E154" t="s">
        <v>1</v>
      </c>
      <c r="F154" t="s">
        <v>1527</v>
      </c>
      <c r="G154" t="s">
        <v>1232</v>
      </c>
      <c r="H154">
        <v>1</v>
      </c>
    </row>
    <row r="155" spans="1:8" x14ac:dyDescent="0.25">
      <c r="A155" t="s">
        <v>1528</v>
      </c>
      <c r="B155" t="s">
        <v>637</v>
      </c>
      <c r="C155" t="s">
        <v>246</v>
      </c>
      <c r="D155" t="s">
        <v>67</v>
      </c>
      <c r="E155" t="s">
        <v>1</v>
      </c>
      <c r="F155" t="s">
        <v>1529</v>
      </c>
      <c r="G155" t="s">
        <v>1232</v>
      </c>
      <c r="H155">
        <v>1</v>
      </c>
    </row>
    <row r="156" spans="1:8" x14ac:dyDescent="0.25">
      <c r="A156" t="s">
        <v>1530</v>
      </c>
      <c r="B156" t="s">
        <v>637</v>
      </c>
      <c r="C156" t="s">
        <v>558</v>
      </c>
      <c r="D156" t="s">
        <v>67</v>
      </c>
      <c r="E156" t="s">
        <v>1</v>
      </c>
      <c r="F156" t="s">
        <v>1531</v>
      </c>
      <c r="G156" t="s">
        <v>1232</v>
      </c>
      <c r="H156">
        <v>1</v>
      </c>
    </row>
    <row r="157" spans="1:8" x14ac:dyDescent="0.25">
      <c r="A157" t="s">
        <v>1532</v>
      </c>
      <c r="B157" t="s">
        <v>442</v>
      </c>
      <c r="C157" t="s">
        <v>108</v>
      </c>
      <c r="D157" t="s">
        <v>67</v>
      </c>
      <c r="E157" t="s">
        <v>1</v>
      </c>
      <c r="F157" t="s">
        <v>1533</v>
      </c>
      <c r="G157" t="s">
        <v>1232</v>
      </c>
      <c r="H157">
        <v>1</v>
      </c>
    </row>
    <row r="158" spans="1:8" x14ac:dyDescent="0.25">
      <c r="A158" t="s">
        <v>1534</v>
      </c>
      <c r="B158" t="s">
        <v>656</v>
      </c>
      <c r="C158" t="s">
        <v>130</v>
      </c>
      <c r="D158" t="s">
        <v>62</v>
      </c>
      <c r="E158" t="s">
        <v>1</v>
      </c>
      <c r="F158" t="s">
        <v>1535</v>
      </c>
      <c r="G158" t="s">
        <v>1223</v>
      </c>
      <c r="H158">
        <v>2</v>
      </c>
    </row>
    <row r="159" spans="1:8" x14ac:dyDescent="0.25">
      <c r="A159" t="s">
        <v>1536</v>
      </c>
      <c r="B159" t="s">
        <v>108</v>
      </c>
      <c r="C159" t="s">
        <v>130</v>
      </c>
      <c r="D159" t="s">
        <v>82</v>
      </c>
      <c r="E159" t="s">
        <v>1</v>
      </c>
      <c r="F159" t="s">
        <v>1537</v>
      </c>
      <c r="G159" t="s">
        <v>1232</v>
      </c>
      <c r="H159">
        <v>1</v>
      </c>
    </row>
    <row r="160" spans="1:8" x14ac:dyDescent="0.25">
      <c r="A160" t="s">
        <v>1538</v>
      </c>
      <c r="B160" t="s">
        <v>108</v>
      </c>
      <c r="C160" t="s">
        <v>160</v>
      </c>
      <c r="D160" t="s">
        <v>82</v>
      </c>
      <c r="E160" t="s">
        <v>1</v>
      </c>
      <c r="F160" t="s">
        <v>1539</v>
      </c>
      <c r="G160" t="s">
        <v>1232</v>
      </c>
      <c r="H160">
        <v>1</v>
      </c>
    </row>
    <row r="161" spans="1:8" x14ac:dyDescent="0.25">
      <c r="A161" t="s">
        <v>1540</v>
      </c>
      <c r="B161" t="s">
        <v>108</v>
      </c>
      <c r="C161" t="s">
        <v>246</v>
      </c>
      <c r="D161" t="s">
        <v>82</v>
      </c>
      <c r="E161" t="s">
        <v>1</v>
      </c>
      <c r="F161" t="s">
        <v>1541</v>
      </c>
      <c r="G161" t="s">
        <v>1232</v>
      </c>
      <c r="H161">
        <v>1</v>
      </c>
    </row>
    <row r="162" spans="1:8" x14ac:dyDescent="0.25">
      <c r="A162" t="s">
        <v>1542</v>
      </c>
      <c r="B162" t="s">
        <v>108</v>
      </c>
      <c r="C162" t="s">
        <v>291</v>
      </c>
      <c r="D162" t="s">
        <v>82</v>
      </c>
      <c r="E162" t="s">
        <v>1</v>
      </c>
      <c r="F162" t="s">
        <v>1543</v>
      </c>
      <c r="G162" t="s">
        <v>1223</v>
      </c>
      <c r="H162">
        <v>2</v>
      </c>
    </row>
    <row r="163" spans="1:8" x14ac:dyDescent="0.25">
      <c r="A163" t="s">
        <v>1544</v>
      </c>
      <c r="B163" t="s">
        <v>108</v>
      </c>
      <c r="C163" t="s">
        <v>301</v>
      </c>
      <c r="D163" t="s">
        <v>87</v>
      </c>
      <c r="E163" t="s">
        <v>1</v>
      </c>
      <c r="F163" t="s">
        <v>1545</v>
      </c>
      <c r="G163" t="s">
        <v>1232</v>
      </c>
      <c r="H163">
        <v>1</v>
      </c>
    </row>
    <row r="164" spans="1:8" x14ac:dyDescent="0.25">
      <c r="A164" t="s">
        <v>1546</v>
      </c>
      <c r="B164" t="s">
        <v>108</v>
      </c>
      <c r="C164" t="s">
        <v>319</v>
      </c>
      <c r="D164" t="s">
        <v>87</v>
      </c>
      <c r="E164" t="s">
        <v>1</v>
      </c>
      <c r="F164" t="s">
        <v>1545</v>
      </c>
      <c r="G164" t="s">
        <v>1232</v>
      </c>
      <c r="H164">
        <v>1</v>
      </c>
    </row>
    <row r="165" spans="1:8" x14ac:dyDescent="0.25">
      <c r="A165" t="s">
        <v>1547</v>
      </c>
      <c r="B165" t="s">
        <v>108</v>
      </c>
      <c r="C165" t="s">
        <v>355</v>
      </c>
      <c r="D165" t="s">
        <v>87</v>
      </c>
      <c r="E165" t="s">
        <v>1</v>
      </c>
      <c r="F165" t="s">
        <v>1545</v>
      </c>
      <c r="G165" t="s">
        <v>1232</v>
      </c>
      <c r="H165">
        <v>1</v>
      </c>
    </row>
    <row r="166" spans="1:8" x14ac:dyDescent="0.25">
      <c r="A166" t="s">
        <v>1548</v>
      </c>
      <c r="B166" t="s">
        <v>108</v>
      </c>
      <c r="C166" t="s">
        <v>451</v>
      </c>
      <c r="D166" t="s">
        <v>82</v>
      </c>
      <c r="E166" t="s">
        <v>1</v>
      </c>
      <c r="F166" t="s">
        <v>1549</v>
      </c>
      <c r="G166" t="s">
        <v>1232</v>
      </c>
      <c r="H166">
        <v>1</v>
      </c>
    </row>
    <row r="167" spans="1:8" x14ac:dyDescent="0.25">
      <c r="A167" t="s">
        <v>1550</v>
      </c>
      <c r="B167" t="s">
        <v>108</v>
      </c>
      <c r="C167" t="s">
        <v>495</v>
      </c>
      <c r="D167" t="s">
        <v>87</v>
      </c>
      <c r="E167" t="s">
        <v>1</v>
      </c>
      <c r="F167" t="s">
        <v>1545</v>
      </c>
      <c r="G167" t="s">
        <v>1232</v>
      </c>
      <c r="H167">
        <v>1</v>
      </c>
    </row>
    <row r="168" spans="1:8" x14ac:dyDescent="0.25">
      <c r="A168" t="s">
        <v>1551</v>
      </c>
      <c r="B168" t="s">
        <v>120</v>
      </c>
      <c r="C168" t="s">
        <v>178</v>
      </c>
      <c r="D168" t="s">
        <v>87</v>
      </c>
      <c r="E168" t="s">
        <v>1</v>
      </c>
      <c r="F168" t="s">
        <v>1545</v>
      </c>
      <c r="G168" t="s">
        <v>1232</v>
      </c>
      <c r="H168">
        <v>1</v>
      </c>
    </row>
    <row r="169" spans="1:8" x14ac:dyDescent="0.25">
      <c r="A169" t="s">
        <v>1552</v>
      </c>
      <c r="B169" t="s">
        <v>120</v>
      </c>
      <c r="C169" t="s">
        <v>319</v>
      </c>
      <c r="D169" t="s">
        <v>87</v>
      </c>
      <c r="E169" t="s">
        <v>1</v>
      </c>
      <c r="F169" t="s">
        <v>1545</v>
      </c>
      <c r="G169" t="s">
        <v>1232</v>
      </c>
      <c r="H169">
        <v>1</v>
      </c>
    </row>
    <row r="170" spans="1:8" x14ac:dyDescent="0.25">
      <c r="A170" t="s">
        <v>1553</v>
      </c>
      <c r="B170" t="s">
        <v>120</v>
      </c>
      <c r="C170" t="s">
        <v>355</v>
      </c>
      <c r="D170" t="s">
        <v>87</v>
      </c>
      <c r="E170" t="s">
        <v>1</v>
      </c>
      <c r="F170" t="s">
        <v>1545</v>
      </c>
      <c r="G170" t="s">
        <v>1232</v>
      </c>
      <c r="H170">
        <v>1</v>
      </c>
    </row>
    <row r="171" spans="1:8" x14ac:dyDescent="0.25">
      <c r="A171" t="s">
        <v>1554</v>
      </c>
      <c r="B171" t="s">
        <v>120</v>
      </c>
      <c r="C171" t="s">
        <v>425</v>
      </c>
      <c r="D171" t="s">
        <v>82</v>
      </c>
      <c r="E171" t="s">
        <v>1</v>
      </c>
      <c r="F171" t="s">
        <v>1555</v>
      </c>
      <c r="G171" t="s">
        <v>1232</v>
      </c>
      <c r="H171">
        <v>1</v>
      </c>
    </row>
    <row r="172" spans="1:8" x14ac:dyDescent="0.25">
      <c r="A172" t="s">
        <v>1556</v>
      </c>
      <c r="B172" t="s">
        <v>120</v>
      </c>
      <c r="C172" t="s">
        <v>442</v>
      </c>
      <c r="D172" t="s">
        <v>82</v>
      </c>
      <c r="E172" t="s">
        <v>1</v>
      </c>
      <c r="F172" t="s">
        <v>1557</v>
      </c>
      <c r="G172" t="s">
        <v>1223</v>
      </c>
      <c r="H172">
        <v>2</v>
      </c>
    </row>
    <row r="173" spans="1:8" x14ac:dyDescent="0.25">
      <c r="A173" t="s">
        <v>1558</v>
      </c>
      <c r="B173" t="s">
        <v>120</v>
      </c>
      <c r="C173" t="s">
        <v>495</v>
      </c>
      <c r="D173" t="s">
        <v>87</v>
      </c>
      <c r="E173" t="s">
        <v>1</v>
      </c>
      <c r="F173" t="s">
        <v>1545</v>
      </c>
      <c r="G173" t="s">
        <v>1232</v>
      </c>
      <c r="H173">
        <v>1</v>
      </c>
    </row>
    <row r="174" spans="1:8" x14ac:dyDescent="0.25">
      <c r="A174" t="s">
        <v>1559</v>
      </c>
      <c r="B174" t="s">
        <v>120</v>
      </c>
      <c r="C174" t="s">
        <v>504</v>
      </c>
      <c r="D174" t="s">
        <v>82</v>
      </c>
      <c r="E174" t="s">
        <v>1</v>
      </c>
      <c r="F174" t="s">
        <v>1555</v>
      </c>
      <c r="G174" t="s">
        <v>1232</v>
      </c>
      <c r="H174">
        <v>1</v>
      </c>
    </row>
    <row r="175" spans="1:8" x14ac:dyDescent="0.25">
      <c r="A175" t="s">
        <v>1560</v>
      </c>
      <c r="B175" t="s">
        <v>120</v>
      </c>
      <c r="C175" t="s">
        <v>540</v>
      </c>
      <c r="D175" t="s">
        <v>87</v>
      </c>
      <c r="E175" t="s">
        <v>1</v>
      </c>
      <c r="F175" t="s">
        <v>1545</v>
      </c>
      <c r="G175" t="s">
        <v>1232</v>
      </c>
      <c r="H175">
        <v>1</v>
      </c>
    </row>
    <row r="176" spans="1:8" x14ac:dyDescent="0.25">
      <c r="A176" t="s">
        <v>1561</v>
      </c>
      <c r="B176" t="s">
        <v>130</v>
      </c>
      <c r="C176" t="s">
        <v>150</v>
      </c>
      <c r="D176" t="s">
        <v>87</v>
      </c>
      <c r="E176" t="s">
        <v>1</v>
      </c>
      <c r="F176" t="s">
        <v>1562</v>
      </c>
      <c r="G176" t="s">
        <v>1232</v>
      </c>
      <c r="H176">
        <v>1</v>
      </c>
    </row>
    <row r="177" spans="1:8" x14ac:dyDescent="0.25">
      <c r="A177" t="s">
        <v>1563</v>
      </c>
      <c r="B177" t="s">
        <v>130</v>
      </c>
      <c r="C177" t="s">
        <v>246</v>
      </c>
      <c r="D177" t="s">
        <v>82</v>
      </c>
      <c r="E177" t="s">
        <v>1</v>
      </c>
      <c r="F177" t="s">
        <v>1564</v>
      </c>
      <c r="G177" t="s">
        <v>1232</v>
      </c>
      <c r="H177">
        <v>1</v>
      </c>
    </row>
    <row r="178" spans="1:8" x14ac:dyDescent="0.25">
      <c r="A178" t="s">
        <v>1565</v>
      </c>
      <c r="B178" t="s">
        <v>130</v>
      </c>
      <c r="C178" t="s">
        <v>540</v>
      </c>
      <c r="D178" t="s">
        <v>82</v>
      </c>
      <c r="E178" t="s">
        <v>1</v>
      </c>
      <c r="F178" t="s">
        <v>1566</v>
      </c>
      <c r="G178" t="s">
        <v>1232</v>
      </c>
      <c r="H178">
        <v>1</v>
      </c>
    </row>
    <row r="179" spans="1:8" x14ac:dyDescent="0.25">
      <c r="A179" t="s">
        <v>1567</v>
      </c>
      <c r="B179" t="s">
        <v>130</v>
      </c>
      <c r="C179" t="s">
        <v>558</v>
      </c>
      <c r="D179" t="s">
        <v>87</v>
      </c>
      <c r="E179" t="s">
        <v>1</v>
      </c>
      <c r="F179" t="s">
        <v>1562</v>
      </c>
      <c r="G179" t="s">
        <v>1232</v>
      </c>
      <c r="H179">
        <v>1</v>
      </c>
    </row>
    <row r="180" spans="1:8" x14ac:dyDescent="0.25">
      <c r="A180" t="s">
        <v>1568</v>
      </c>
      <c r="B180" t="s">
        <v>130</v>
      </c>
      <c r="C180" t="s">
        <v>593</v>
      </c>
      <c r="D180" t="s">
        <v>82</v>
      </c>
      <c r="E180" t="s">
        <v>1</v>
      </c>
      <c r="F180" t="s">
        <v>1569</v>
      </c>
      <c r="G180" t="s">
        <v>1232</v>
      </c>
      <c r="H180">
        <v>1</v>
      </c>
    </row>
    <row r="181" spans="1:8" x14ac:dyDescent="0.25">
      <c r="A181" t="s">
        <v>1570</v>
      </c>
      <c r="B181" t="s">
        <v>139</v>
      </c>
      <c r="C181" t="s">
        <v>208</v>
      </c>
      <c r="D181" t="s">
        <v>82</v>
      </c>
      <c r="E181" t="s">
        <v>1</v>
      </c>
      <c r="F181" t="s">
        <v>1571</v>
      </c>
      <c r="G181" t="s">
        <v>1223</v>
      </c>
      <c r="H181">
        <v>2</v>
      </c>
    </row>
    <row r="182" spans="1:8" x14ac:dyDescent="0.25">
      <c r="A182" t="s">
        <v>1572</v>
      </c>
      <c r="B182" t="s">
        <v>139</v>
      </c>
      <c r="C182" t="s">
        <v>346</v>
      </c>
      <c r="D182" t="s">
        <v>82</v>
      </c>
      <c r="E182" t="s">
        <v>1</v>
      </c>
      <c r="F182" t="s">
        <v>1569</v>
      </c>
      <c r="G182" t="s">
        <v>1232</v>
      </c>
      <c r="H182">
        <v>1</v>
      </c>
    </row>
    <row r="183" spans="1:8" x14ac:dyDescent="0.25">
      <c r="A183" t="s">
        <v>1573</v>
      </c>
      <c r="B183" t="s">
        <v>139</v>
      </c>
      <c r="C183" t="s">
        <v>372</v>
      </c>
      <c r="D183" t="s">
        <v>82</v>
      </c>
      <c r="E183" t="s">
        <v>1</v>
      </c>
      <c r="F183" t="s">
        <v>1574</v>
      </c>
      <c r="G183" t="s">
        <v>1232</v>
      </c>
      <c r="H183">
        <v>1</v>
      </c>
    </row>
    <row r="184" spans="1:8" x14ac:dyDescent="0.25">
      <c r="A184" t="s">
        <v>1575</v>
      </c>
      <c r="B184" t="s">
        <v>139</v>
      </c>
      <c r="C184" t="s">
        <v>486</v>
      </c>
      <c r="D184" t="s">
        <v>82</v>
      </c>
      <c r="E184" t="s">
        <v>1</v>
      </c>
      <c r="F184" t="s">
        <v>1576</v>
      </c>
      <c r="G184" t="s">
        <v>1223</v>
      </c>
      <c r="H184">
        <v>2</v>
      </c>
    </row>
    <row r="185" spans="1:8" x14ac:dyDescent="0.25">
      <c r="A185" t="s">
        <v>1577</v>
      </c>
      <c r="B185" t="s">
        <v>139</v>
      </c>
      <c r="C185" t="s">
        <v>504</v>
      </c>
      <c r="D185" t="s">
        <v>82</v>
      </c>
      <c r="E185" t="s">
        <v>1</v>
      </c>
      <c r="F185" t="s">
        <v>1578</v>
      </c>
      <c r="G185" t="s">
        <v>1232</v>
      </c>
      <c r="H185">
        <v>1</v>
      </c>
    </row>
    <row r="186" spans="1:8" x14ac:dyDescent="0.25">
      <c r="A186" t="s">
        <v>1579</v>
      </c>
      <c r="B186" t="s">
        <v>150</v>
      </c>
      <c r="C186" t="s">
        <v>168</v>
      </c>
      <c r="D186" t="s">
        <v>87</v>
      </c>
      <c r="E186" t="s">
        <v>1</v>
      </c>
      <c r="F186" t="s">
        <v>1562</v>
      </c>
      <c r="G186" t="s">
        <v>1232</v>
      </c>
      <c r="H186">
        <v>1</v>
      </c>
    </row>
    <row r="187" spans="1:8" x14ac:dyDescent="0.25">
      <c r="A187" t="s">
        <v>1580</v>
      </c>
      <c r="B187" t="s">
        <v>150</v>
      </c>
      <c r="C187" t="s">
        <v>178</v>
      </c>
      <c r="D187" t="s">
        <v>82</v>
      </c>
      <c r="E187" t="s">
        <v>1</v>
      </c>
      <c r="F187" t="s">
        <v>1581</v>
      </c>
      <c r="G187" t="s">
        <v>1223</v>
      </c>
      <c r="H187">
        <v>2</v>
      </c>
    </row>
    <row r="188" spans="1:8" x14ac:dyDescent="0.25">
      <c r="A188" t="s">
        <v>1582</v>
      </c>
      <c r="B188" t="s">
        <v>150</v>
      </c>
      <c r="C188" t="s">
        <v>226</v>
      </c>
      <c r="D188" t="s">
        <v>82</v>
      </c>
      <c r="E188" t="s">
        <v>1</v>
      </c>
      <c r="F188" t="s">
        <v>1583</v>
      </c>
      <c r="G188" t="s">
        <v>1232</v>
      </c>
      <c r="H188">
        <v>1</v>
      </c>
    </row>
    <row r="189" spans="1:8" x14ac:dyDescent="0.25">
      <c r="A189" t="s">
        <v>1584</v>
      </c>
      <c r="B189" t="s">
        <v>150</v>
      </c>
      <c r="C189" t="s">
        <v>246</v>
      </c>
      <c r="D189" t="s">
        <v>82</v>
      </c>
      <c r="E189" t="s">
        <v>1</v>
      </c>
      <c r="F189" t="s">
        <v>1585</v>
      </c>
      <c r="G189" t="s">
        <v>1232</v>
      </c>
      <c r="H189">
        <v>1</v>
      </c>
    </row>
    <row r="190" spans="1:8" x14ac:dyDescent="0.25">
      <c r="A190" t="s">
        <v>1586</v>
      </c>
      <c r="B190" t="s">
        <v>150</v>
      </c>
      <c r="C190" t="s">
        <v>442</v>
      </c>
      <c r="D190" t="s">
        <v>82</v>
      </c>
      <c r="E190" t="s">
        <v>1</v>
      </c>
      <c r="F190" t="s">
        <v>1587</v>
      </c>
      <c r="G190" t="s">
        <v>1232</v>
      </c>
      <c r="H190">
        <v>1</v>
      </c>
    </row>
    <row r="191" spans="1:8" x14ac:dyDescent="0.25">
      <c r="A191" t="s">
        <v>1588</v>
      </c>
      <c r="B191" t="s">
        <v>150</v>
      </c>
      <c r="C191" t="s">
        <v>451</v>
      </c>
      <c r="D191" t="s">
        <v>82</v>
      </c>
      <c r="E191" t="s">
        <v>1</v>
      </c>
      <c r="F191" t="s">
        <v>1589</v>
      </c>
      <c r="G191" t="s">
        <v>1232</v>
      </c>
      <c r="H191">
        <v>1</v>
      </c>
    </row>
    <row r="192" spans="1:8" x14ac:dyDescent="0.25">
      <c r="A192" t="s">
        <v>1590</v>
      </c>
      <c r="B192" t="s">
        <v>150</v>
      </c>
      <c r="C192" t="s">
        <v>540</v>
      </c>
      <c r="D192" t="s">
        <v>82</v>
      </c>
      <c r="E192" t="s">
        <v>1</v>
      </c>
      <c r="F192" t="s">
        <v>1591</v>
      </c>
      <c r="G192" t="s">
        <v>1223</v>
      </c>
      <c r="H192">
        <v>2</v>
      </c>
    </row>
    <row r="193" spans="1:8" x14ac:dyDescent="0.25">
      <c r="A193" t="s">
        <v>1592</v>
      </c>
      <c r="B193" t="s">
        <v>150</v>
      </c>
      <c r="C193" t="s">
        <v>558</v>
      </c>
      <c r="D193" t="s">
        <v>87</v>
      </c>
      <c r="E193" t="s">
        <v>1</v>
      </c>
      <c r="F193" t="s">
        <v>1562</v>
      </c>
      <c r="G193" t="s">
        <v>1232</v>
      </c>
      <c r="H193">
        <v>1</v>
      </c>
    </row>
    <row r="194" spans="1:8" x14ac:dyDescent="0.25">
      <c r="A194" t="s">
        <v>1593</v>
      </c>
      <c r="B194" t="s">
        <v>150</v>
      </c>
      <c r="C194" t="s">
        <v>567</v>
      </c>
      <c r="D194" t="s">
        <v>87</v>
      </c>
      <c r="E194" t="s">
        <v>1</v>
      </c>
      <c r="F194" t="s">
        <v>1562</v>
      </c>
      <c r="G194" t="s">
        <v>1232</v>
      </c>
      <c r="H194">
        <v>1</v>
      </c>
    </row>
    <row r="195" spans="1:8" x14ac:dyDescent="0.25">
      <c r="A195" t="s">
        <v>1594</v>
      </c>
      <c r="B195" t="s">
        <v>150</v>
      </c>
      <c r="C195" t="s">
        <v>656</v>
      </c>
      <c r="D195" t="s">
        <v>87</v>
      </c>
      <c r="E195" t="s">
        <v>1</v>
      </c>
      <c r="F195" t="s">
        <v>1562</v>
      </c>
      <c r="G195" t="s">
        <v>1232</v>
      </c>
      <c r="H195">
        <v>1</v>
      </c>
    </row>
    <row r="196" spans="1:8" x14ac:dyDescent="0.25">
      <c r="A196" t="s">
        <v>1595</v>
      </c>
      <c r="B196" t="s">
        <v>160</v>
      </c>
      <c r="C196" t="s">
        <v>178</v>
      </c>
      <c r="D196" t="s">
        <v>82</v>
      </c>
      <c r="E196" t="s">
        <v>1</v>
      </c>
      <c r="F196" t="s">
        <v>1596</v>
      </c>
      <c r="G196" t="s">
        <v>1232</v>
      </c>
      <c r="H196">
        <v>1</v>
      </c>
    </row>
    <row r="197" spans="1:8" x14ac:dyDescent="0.25">
      <c r="A197" t="s">
        <v>1597</v>
      </c>
      <c r="B197" t="s">
        <v>160</v>
      </c>
      <c r="C197" t="s">
        <v>199</v>
      </c>
      <c r="D197" t="s">
        <v>82</v>
      </c>
      <c r="E197" t="s">
        <v>1</v>
      </c>
      <c r="F197" t="s">
        <v>1549</v>
      </c>
      <c r="G197" t="s">
        <v>1232</v>
      </c>
      <c r="H197">
        <v>1</v>
      </c>
    </row>
    <row r="198" spans="1:8" x14ac:dyDescent="0.25">
      <c r="A198" t="s">
        <v>1598</v>
      </c>
      <c r="B198" t="s">
        <v>160</v>
      </c>
      <c r="C198" t="s">
        <v>237</v>
      </c>
      <c r="D198" t="s">
        <v>87</v>
      </c>
      <c r="E198" t="s">
        <v>1</v>
      </c>
      <c r="F198" t="s">
        <v>1599</v>
      </c>
      <c r="G198" t="s">
        <v>1232</v>
      </c>
      <c r="H198">
        <v>1</v>
      </c>
    </row>
    <row r="199" spans="1:8" x14ac:dyDescent="0.25">
      <c r="A199" t="s">
        <v>1600</v>
      </c>
      <c r="B199" t="s">
        <v>160</v>
      </c>
      <c r="C199" t="s">
        <v>246</v>
      </c>
      <c r="D199" t="s">
        <v>82</v>
      </c>
      <c r="E199" t="s">
        <v>1</v>
      </c>
      <c r="F199" t="s">
        <v>1601</v>
      </c>
      <c r="G199" t="s">
        <v>1232</v>
      </c>
      <c r="H199">
        <v>1</v>
      </c>
    </row>
    <row r="200" spans="1:8" x14ac:dyDescent="0.25">
      <c r="A200" t="s">
        <v>1602</v>
      </c>
      <c r="B200" t="s">
        <v>160</v>
      </c>
      <c r="C200" t="s">
        <v>255</v>
      </c>
      <c r="D200" t="s">
        <v>87</v>
      </c>
      <c r="E200" t="s">
        <v>1</v>
      </c>
      <c r="F200" t="s">
        <v>1599</v>
      </c>
      <c r="G200" t="s">
        <v>1232</v>
      </c>
      <c r="H200">
        <v>1</v>
      </c>
    </row>
    <row r="201" spans="1:8" x14ac:dyDescent="0.25">
      <c r="A201" t="s">
        <v>1603</v>
      </c>
      <c r="B201" t="s">
        <v>160</v>
      </c>
      <c r="C201" t="s">
        <v>264</v>
      </c>
      <c r="D201" t="s">
        <v>87</v>
      </c>
      <c r="E201" t="s">
        <v>1</v>
      </c>
      <c r="F201" t="s">
        <v>1599</v>
      </c>
      <c r="G201" t="s">
        <v>1232</v>
      </c>
      <c r="H201">
        <v>1</v>
      </c>
    </row>
    <row r="202" spans="1:8" x14ac:dyDescent="0.25">
      <c r="A202" t="s">
        <v>1604</v>
      </c>
      <c r="B202" t="s">
        <v>160</v>
      </c>
      <c r="C202" t="s">
        <v>273</v>
      </c>
      <c r="D202" t="s">
        <v>87</v>
      </c>
      <c r="E202" t="s">
        <v>1</v>
      </c>
      <c r="F202" t="s">
        <v>1605</v>
      </c>
      <c r="G202" t="s">
        <v>1232</v>
      </c>
      <c r="H202">
        <v>1</v>
      </c>
    </row>
    <row r="203" spans="1:8" x14ac:dyDescent="0.25">
      <c r="A203" t="s">
        <v>1606</v>
      </c>
      <c r="B203" t="s">
        <v>160</v>
      </c>
      <c r="C203" t="s">
        <v>291</v>
      </c>
      <c r="D203" t="s">
        <v>82</v>
      </c>
      <c r="E203" t="s">
        <v>1</v>
      </c>
      <c r="F203" t="s">
        <v>1589</v>
      </c>
      <c r="G203" t="s">
        <v>1232</v>
      </c>
      <c r="H203">
        <v>1</v>
      </c>
    </row>
    <row r="204" spans="1:8" x14ac:dyDescent="0.25">
      <c r="A204" t="s">
        <v>1607</v>
      </c>
      <c r="B204" t="s">
        <v>160</v>
      </c>
      <c r="C204" t="s">
        <v>442</v>
      </c>
      <c r="D204" t="s">
        <v>82</v>
      </c>
      <c r="E204" t="s">
        <v>1</v>
      </c>
      <c r="F204" t="s">
        <v>1608</v>
      </c>
      <c r="G204" t="s">
        <v>1232</v>
      </c>
      <c r="H204">
        <v>1</v>
      </c>
    </row>
    <row r="205" spans="1:8" x14ac:dyDescent="0.25">
      <c r="A205" t="s">
        <v>1609</v>
      </c>
      <c r="B205" t="s">
        <v>160</v>
      </c>
      <c r="C205" t="s">
        <v>540</v>
      </c>
      <c r="D205" t="s">
        <v>82</v>
      </c>
      <c r="E205" t="s">
        <v>1</v>
      </c>
      <c r="F205" t="s">
        <v>1578</v>
      </c>
      <c r="G205" t="s">
        <v>1232</v>
      </c>
      <c r="H205">
        <v>1</v>
      </c>
    </row>
    <row r="206" spans="1:8" x14ac:dyDescent="0.25">
      <c r="A206" t="s">
        <v>1610</v>
      </c>
      <c r="B206" t="s">
        <v>160</v>
      </c>
      <c r="C206" t="s">
        <v>576</v>
      </c>
      <c r="D206" t="s">
        <v>87</v>
      </c>
      <c r="E206" t="s">
        <v>1</v>
      </c>
      <c r="F206" t="s">
        <v>1605</v>
      </c>
      <c r="G206" t="s">
        <v>1232</v>
      </c>
      <c r="H206">
        <v>1</v>
      </c>
    </row>
    <row r="207" spans="1:8" x14ac:dyDescent="0.25">
      <c r="A207" t="s">
        <v>1611</v>
      </c>
      <c r="B207" t="s">
        <v>160</v>
      </c>
      <c r="C207" t="s">
        <v>584</v>
      </c>
      <c r="D207" t="s">
        <v>87</v>
      </c>
      <c r="E207" t="s">
        <v>1</v>
      </c>
      <c r="F207" t="s">
        <v>1599</v>
      </c>
      <c r="G207" t="s">
        <v>1232</v>
      </c>
      <c r="H207">
        <v>1</v>
      </c>
    </row>
    <row r="208" spans="1:8" x14ac:dyDescent="0.25">
      <c r="A208" t="s">
        <v>1612</v>
      </c>
      <c r="B208" t="s">
        <v>160</v>
      </c>
      <c r="C208" t="s">
        <v>593</v>
      </c>
      <c r="D208" t="s">
        <v>87</v>
      </c>
      <c r="E208" t="s">
        <v>1</v>
      </c>
      <c r="F208" t="s">
        <v>1613</v>
      </c>
      <c r="G208" t="s">
        <v>1232</v>
      </c>
      <c r="H208">
        <v>1</v>
      </c>
    </row>
    <row r="209" spans="1:8" x14ac:dyDescent="0.25">
      <c r="A209" t="s">
        <v>1614</v>
      </c>
      <c r="B209" t="s">
        <v>160</v>
      </c>
      <c r="C209" t="s">
        <v>602</v>
      </c>
      <c r="D209" t="s">
        <v>87</v>
      </c>
      <c r="E209" t="s">
        <v>1</v>
      </c>
      <c r="F209" t="s">
        <v>1613</v>
      </c>
      <c r="G209" t="s">
        <v>1232</v>
      </c>
      <c r="H209">
        <v>1</v>
      </c>
    </row>
    <row r="210" spans="1:8" x14ac:dyDescent="0.25">
      <c r="A210" t="s">
        <v>1615</v>
      </c>
      <c r="B210" t="s">
        <v>160</v>
      </c>
      <c r="C210" t="s">
        <v>611</v>
      </c>
      <c r="D210" t="s">
        <v>87</v>
      </c>
      <c r="E210" t="s">
        <v>1</v>
      </c>
      <c r="F210" t="s">
        <v>1605</v>
      </c>
      <c r="G210" t="s">
        <v>1232</v>
      </c>
      <c r="H210">
        <v>1</v>
      </c>
    </row>
    <row r="211" spans="1:8" x14ac:dyDescent="0.25">
      <c r="A211" t="s">
        <v>1616</v>
      </c>
      <c r="B211" t="s">
        <v>160</v>
      </c>
      <c r="C211" t="s">
        <v>620</v>
      </c>
      <c r="D211" t="s">
        <v>87</v>
      </c>
      <c r="E211" t="s">
        <v>1</v>
      </c>
      <c r="F211" t="s">
        <v>1605</v>
      </c>
      <c r="G211" t="s">
        <v>1232</v>
      </c>
      <c r="H211">
        <v>1</v>
      </c>
    </row>
    <row r="212" spans="1:8" x14ac:dyDescent="0.25">
      <c r="A212" t="s">
        <v>1617</v>
      </c>
      <c r="B212" t="s">
        <v>160</v>
      </c>
      <c r="C212" t="s">
        <v>628</v>
      </c>
      <c r="D212" t="s">
        <v>87</v>
      </c>
      <c r="E212" t="s">
        <v>1</v>
      </c>
      <c r="F212" t="s">
        <v>1605</v>
      </c>
      <c r="G212" t="s">
        <v>1232</v>
      </c>
      <c r="H212">
        <v>1</v>
      </c>
    </row>
    <row r="213" spans="1:8" x14ac:dyDescent="0.25">
      <c r="A213" t="s">
        <v>1618</v>
      </c>
      <c r="B213" t="s">
        <v>160</v>
      </c>
      <c r="C213" t="s">
        <v>637</v>
      </c>
      <c r="D213" t="s">
        <v>87</v>
      </c>
      <c r="E213" t="s">
        <v>1</v>
      </c>
      <c r="F213" t="s">
        <v>1599</v>
      </c>
      <c r="G213" t="s">
        <v>1232</v>
      </c>
      <c r="H213">
        <v>1</v>
      </c>
    </row>
    <row r="214" spans="1:8" x14ac:dyDescent="0.25">
      <c r="A214" t="s">
        <v>1619</v>
      </c>
      <c r="B214" t="s">
        <v>160</v>
      </c>
      <c r="C214" t="s">
        <v>646</v>
      </c>
      <c r="D214" t="s">
        <v>87</v>
      </c>
      <c r="E214" t="s">
        <v>1</v>
      </c>
      <c r="F214" t="s">
        <v>1605</v>
      </c>
      <c r="G214" t="s">
        <v>1232</v>
      </c>
      <c r="H214">
        <v>1</v>
      </c>
    </row>
    <row r="215" spans="1:8" x14ac:dyDescent="0.25">
      <c r="A215" t="s">
        <v>1620</v>
      </c>
      <c r="B215" t="s">
        <v>160</v>
      </c>
      <c r="C215" t="s">
        <v>656</v>
      </c>
      <c r="D215" t="s">
        <v>87</v>
      </c>
      <c r="E215" t="s">
        <v>1</v>
      </c>
      <c r="F215" t="s">
        <v>1605</v>
      </c>
      <c r="G215" t="s">
        <v>1232</v>
      </c>
      <c r="H215">
        <v>1</v>
      </c>
    </row>
    <row r="216" spans="1:8" x14ac:dyDescent="0.25">
      <c r="A216" t="s">
        <v>1621</v>
      </c>
      <c r="B216" t="s">
        <v>168</v>
      </c>
      <c r="C216" t="s">
        <v>558</v>
      </c>
      <c r="D216" t="s">
        <v>87</v>
      </c>
      <c r="E216" t="s">
        <v>1</v>
      </c>
      <c r="F216" t="s">
        <v>1562</v>
      </c>
      <c r="G216" t="s">
        <v>1232</v>
      </c>
      <c r="H216">
        <v>1</v>
      </c>
    </row>
    <row r="217" spans="1:8" x14ac:dyDescent="0.25">
      <c r="A217" t="s">
        <v>1622</v>
      </c>
      <c r="B217" t="s">
        <v>168</v>
      </c>
      <c r="C217" t="s">
        <v>567</v>
      </c>
      <c r="D217" t="s">
        <v>87</v>
      </c>
      <c r="E217" t="s">
        <v>1</v>
      </c>
      <c r="F217" t="s">
        <v>1562</v>
      </c>
      <c r="G217" t="s">
        <v>1232</v>
      </c>
      <c r="H217">
        <v>1</v>
      </c>
    </row>
    <row r="218" spans="1:8" x14ac:dyDescent="0.25">
      <c r="A218" t="s">
        <v>1623</v>
      </c>
      <c r="B218" t="s">
        <v>168</v>
      </c>
      <c r="C218" t="s">
        <v>656</v>
      </c>
      <c r="D218" t="s">
        <v>87</v>
      </c>
      <c r="E218" t="s">
        <v>1</v>
      </c>
      <c r="F218" t="s">
        <v>1562</v>
      </c>
      <c r="G218" t="s">
        <v>1232</v>
      </c>
      <c r="H218">
        <v>1</v>
      </c>
    </row>
    <row r="219" spans="1:8" x14ac:dyDescent="0.25">
      <c r="A219" t="s">
        <v>1624</v>
      </c>
      <c r="B219" t="s">
        <v>178</v>
      </c>
      <c r="C219" t="s">
        <v>226</v>
      </c>
      <c r="D219" t="s">
        <v>82</v>
      </c>
      <c r="E219" t="s">
        <v>1</v>
      </c>
      <c r="F219" t="s">
        <v>1591</v>
      </c>
      <c r="G219" t="s">
        <v>1223</v>
      </c>
      <c r="H219">
        <v>2</v>
      </c>
    </row>
    <row r="220" spans="1:8" x14ac:dyDescent="0.25">
      <c r="A220" t="s">
        <v>1625</v>
      </c>
      <c r="B220" t="s">
        <v>178</v>
      </c>
      <c r="C220" t="s">
        <v>246</v>
      </c>
      <c r="D220" t="s">
        <v>82</v>
      </c>
      <c r="E220" t="s">
        <v>1</v>
      </c>
      <c r="F220" t="s">
        <v>1626</v>
      </c>
      <c r="G220" t="s">
        <v>1232</v>
      </c>
      <c r="H220">
        <v>1</v>
      </c>
    </row>
    <row r="221" spans="1:8" x14ac:dyDescent="0.25">
      <c r="A221" t="s">
        <v>1627</v>
      </c>
      <c r="B221" t="s">
        <v>178</v>
      </c>
      <c r="C221" t="s">
        <v>291</v>
      </c>
      <c r="D221" t="s">
        <v>82</v>
      </c>
      <c r="E221" t="s">
        <v>1</v>
      </c>
      <c r="F221" t="s">
        <v>1628</v>
      </c>
      <c r="G221" t="s">
        <v>1232</v>
      </c>
      <c r="H221">
        <v>1</v>
      </c>
    </row>
    <row r="222" spans="1:8" x14ac:dyDescent="0.25">
      <c r="A222" t="s">
        <v>1629</v>
      </c>
      <c r="B222" t="s">
        <v>178</v>
      </c>
      <c r="C222" t="s">
        <v>301</v>
      </c>
      <c r="D222" t="s">
        <v>87</v>
      </c>
      <c r="E222" t="s">
        <v>1</v>
      </c>
      <c r="F222" t="s">
        <v>1545</v>
      </c>
      <c r="G222" t="s">
        <v>1232</v>
      </c>
      <c r="H222">
        <v>1</v>
      </c>
    </row>
    <row r="223" spans="1:8" x14ac:dyDescent="0.25">
      <c r="A223" t="s">
        <v>1630</v>
      </c>
      <c r="B223" t="s">
        <v>178</v>
      </c>
      <c r="C223" t="s">
        <v>319</v>
      </c>
      <c r="D223" t="s">
        <v>87</v>
      </c>
      <c r="E223" t="s">
        <v>1</v>
      </c>
      <c r="F223" t="s">
        <v>1545</v>
      </c>
      <c r="G223" t="s">
        <v>1232</v>
      </c>
      <c r="H223">
        <v>1</v>
      </c>
    </row>
    <row r="224" spans="1:8" x14ac:dyDescent="0.25">
      <c r="A224" t="s">
        <v>1631</v>
      </c>
      <c r="B224" t="s">
        <v>178</v>
      </c>
      <c r="C224" t="s">
        <v>355</v>
      </c>
      <c r="D224" t="s">
        <v>87</v>
      </c>
      <c r="E224" t="s">
        <v>1</v>
      </c>
      <c r="F224" t="s">
        <v>1545</v>
      </c>
      <c r="G224" t="s">
        <v>1232</v>
      </c>
      <c r="H224">
        <v>1</v>
      </c>
    </row>
    <row r="225" spans="1:8" x14ac:dyDescent="0.25">
      <c r="A225" t="s">
        <v>1632</v>
      </c>
      <c r="B225" t="s">
        <v>178</v>
      </c>
      <c r="C225" t="s">
        <v>451</v>
      </c>
      <c r="D225" t="s">
        <v>82</v>
      </c>
      <c r="E225" t="s">
        <v>1</v>
      </c>
      <c r="F225" t="s">
        <v>1633</v>
      </c>
      <c r="G225" t="s">
        <v>1223</v>
      </c>
      <c r="H225">
        <v>2</v>
      </c>
    </row>
    <row r="226" spans="1:8" x14ac:dyDescent="0.25">
      <c r="A226" t="s">
        <v>1634</v>
      </c>
      <c r="B226" t="s">
        <v>178</v>
      </c>
      <c r="C226" t="s">
        <v>460</v>
      </c>
      <c r="D226" t="s">
        <v>82</v>
      </c>
      <c r="E226" t="s">
        <v>1</v>
      </c>
      <c r="F226" t="s">
        <v>1626</v>
      </c>
      <c r="G226" t="s">
        <v>1232</v>
      </c>
      <c r="H226">
        <v>1</v>
      </c>
    </row>
    <row r="227" spans="1:8" x14ac:dyDescent="0.25">
      <c r="A227" t="s">
        <v>1635</v>
      </c>
      <c r="B227" t="s">
        <v>178</v>
      </c>
      <c r="C227" t="s">
        <v>495</v>
      </c>
      <c r="D227" t="s">
        <v>87</v>
      </c>
      <c r="E227" t="s">
        <v>1</v>
      </c>
      <c r="F227" t="s">
        <v>1545</v>
      </c>
      <c r="G227" t="s">
        <v>1232</v>
      </c>
      <c r="H227">
        <v>1</v>
      </c>
    </row>
    <row r="228" spans="1:8" x14ac:dyDescent="0.25">
      <c r="A228" t="s">
        <v>1636</v>
      </c>
      <c r="B228" t="s">
        <v>178</v>
      </c>
      <c r="C228" t="s">
        <v>540</v>
      </c>
      <c r="D228" t="s">
        <v>82</v>
      </c>
      <c r="E228" t="s">
        <v>1</v>
      </c>
      <c r="F228" t="s">
        <v>1637</v>
      </c>
      <c r="G228" t="s">
        <v>1223</v>
      </c>
      <c r="H228">
        <v>2</v>
      </c>
    </row>
    <row r="229" spans="1:8" x14ac:dyDescent="0.25">
      <c r="A229" t="s">
        <v>1638</v>
      </c>
      <c r="B229" t="s">
        <v>188</v>
      </c>
      <c r="C229" t="s">
        <v>199</v>
      </c>
      <c r="D229" t="s">
        <v>87</v>
      </c>
      <c r="E229" t="s">
        <v>1</v>
      </c>
      <c r="F229" t="s">
        <v>1639</v>
      </c>
      <c r="G229" t="s">
        <v>1232</v>
      </c>
      <c r="H229">
        <v>1</v>
      </c>
    </row>
    <row r="230" spans="1:8" x14ac:dyDescent="0.25">
      <c r="A230" t="s">
        <v>1640</v>
      </c>
      <c r="B230" t="s">
        <v>188</v>
      </c>
      <c r="C230" t="s">
        <v>217</v>
      </c>
      <c r="D230" t="s">
        <v>82</v>
      </c>
      <c r="E230" t="s">
        <v>1</v>
      </c>
      <c r="F230" t="s">
        <v>1641</v>
      </c>
      <c r="G230" t="s">
        <v>1223</v>
      </c>
      <c r="H230">
        <v>2</v>
      </c>
    </row>
    <row r="231" spans="1:8" x14ac:dyDescent="0.25">
      <c r="A231" t="s">
        <v>1642</v>
      </c>
      <c r="B231" t="s">
        <v>188</v>
      </c>
      <c r="C231" t="s">
        <v>451</v>
      </c>
      <c r="D231" t="s">
        <v>87</v>
      </c>
      <c r="E231" t="s">
        <v>1</v>
      </c>
      <c r="F231" t="s">
        <v>1643</v>
      </c>
      <c r="G231" t="s">
        <v>1232</v>
      </c>
      <c r="H231">
        <v>1</v>
      </c>
    </row>
    <row r="232" spans="1:8" x14ac:dyDescent="0.25">
      <c r="A232" t="s">
        <v>1644</v>
      </c>
      <c r="B232" t="s">
        <v>188</v>
      </c>
      <c r="C232" t="s">
        <v>460</v>
      </c>
      <c r="D232" t="s">
        <v>87</v>
      </c>
      <c r="E232" t="s">
        <v>1</v>
      </c>
      <c r="F232" t="s">
        <v>1639</v>
      </c>
      <c r="G232" t="s">
        <v>1232</v>
      </c>
      <c r="H232">
        <v>1</v>
      </c>
    </row>
    <row r="233" spans="1:8" x14ac:dyDescent="0.25">
      <c r="A233" t="s">
        <v>1645</v>
      </c>
      <c r="B233" t="s">
        <v>188</v>
      </c>
      <c r="C233" t="s">
        <v>477</v>
      </c>
      <c r="D233" t="s">
        <v>87</v>
      </c>
      <c r="E233" t="s">
        <v>1</v>
      </c>
      <c r="F233" t="s">
        <v>1646</v>
      </c>
      <c r="G233" t="s">
        <v>1232</v>
      </c>
      <c r="H233">
        <v>1</v>
      </c>
    </row>
    <row r="234" spans="1:8" x14ac:dyDescent="0.25">
      <c r="A234" t="s">
        <v>1647</v>
      </c>
      <c r="B234" t="s">
        <v>188</v>
      </c>
      <c r="C234" t="s">
        <v>486</v>
      </c>
      <c r="D234" t="s">
        <v>87</v>
      </c>
      <c r="E234" t="s">
        <v>1</v>
      </c>
      <c r="F234" t="s">
        <v>1648</v>
      </c>
      <c r="G234" t="s">
        <v>1232</v>
      </c>
      <c r="H234">
        <v>1</v>
      </c>
    </row>
    <row r="235" spans="1:8" x14ac:dyDescent="0.25">
      <c r="A235" t="s">
        <v>1649</v>
      </c>
      <c r="B235" t="s">
        <v>188</v>
      </c>
      <c r="C235" t="s">
        <v>495</v>
      </c>
      <c r="D235" t="s">
        <v>82</v>
      </c>
      <c r="E235" t="s">
        <v>1</v>
      </c>
      <c r="F235" t="s">
        <v>1650</v>
      </c>
      <c r="G235" t="s">
        <v>1232</v>
      </c>
      <c r="H235">
        <v>1</v>
      </c>
    </row>
    <row r="236" spans="1:8" x14ac:dyDescent="0.25">
      <c r="A236" t="s">
        <v>1651</v>
      </c>
      <c r="B236" t="s">
        <v>188</v>
      </c>
      <c r="C236" t="s">
        <v>504</v>
      </c>
      <c r="D236" t="s">
        <v>87</v>
      </c>
      <c r="E236" t="s">
        <v>1</v>
      </c>
      <c r="F236" t="s">
        <v>1652</v>
      </c>
      <c r="G236" t="s">
        <v>1232</v>
      </c>
      <c r="H236">
        <v>1</v>
      </c>
    </row>
    <row r="237" spans="1:8" x14ac:dyDescent="0.25">
      <c r="A237" t="s">
        <v>1653</v>
      </c>
      <c r="B237" t="s">
        <v>188</v>
      </c>
      <c r="C237" t="s">
        <v>513</v>
      </c>
      <c r="D237" t="s">
        <v>82</v>
      </c>
      <c r="E237" t="s">
        <v>1</v>
      </c>
      <c r="F237" t="s">
        <v>1541</v>
      </c>
      <c r="G237" t="s">
        <v>1232</v>
      </c>
      <c r="H237">
        <v>1</v>
      </c>
    </row>
    <row r="238" spans="1:8" x14ac:dyDescent="0.25">
      <c r="A238" t="s">
        <v>1654</v>
      </c>
      <c r="B238" t="s">
        <v>188</v>
      </c>
      <c r="C238" t="s">
        <v>522</v>
      </c>
      <c r="D238" t="s">
        <v>87</v>
      </c>
      <c r="E238" t="s">
        <v>1</v>
      </c>
      <c r="F238" t="s">
        <v>1643</v>
      </c>
      <c r="G238" t="s">
        <v>1232</v>
      </c>
      <c r="H238">
        <v>1</v>
      </c>
    </row>
    <row r="239" spans="1:8" x14ac:dyDescent="0.25">
      <c r="A239" t="s">
        <v>1655</v>
      </c>
      <c r="B239" t="s">
        <v>188</v>
      </c>
      <c r="C239" t="s">
        <v>531</v>
      </c>
      <c r="D239" t="s">
        <v>87</v>
      </c>
      <c r="E239" t="s">
        <v>1</v>
      </c>
      <c r="F239" t="s">
        <v>1643</v>
      </c>
      <c r="G239" t="s">
        <v>1232</v>
      </c>
      <c r="H239">
        <v>1</v>
      </c>
    </row>
    <row r="240" spans="1:8" x14ac:dyDescent="0.25">
      <c r="A240" t="s">
        <v>1656</v>
      </c>
      <c r="B240" t="s">
        <v>199</v>
      </c>
      <c r="C240" t="s">
        <v>217</v>
      </c>
      <c r="D240" t="s">
        <v>87</v>
      </c>
      <c r="E240" t="s">
        <v>1</v>
      </c>
      <c r="F240" t="s">
        <v>1639</v>
      </c>
      <c r="G240" t="s">
        <v>1232</v>
      </c>
      <c r="H240">
        <v>1</v>
      </c>
    </row>
    <row r="241" spans="1:8" x14ac:dyDescent="0.25">
      <c r="A241" t="s">
        <v>1657</v>
      </c>
      <c r="B241" t="s">
        <v>199</v>
      </c>
      <c r="C241" t="s">
        <v>237</v>
      </c>
      <c r="D241" t="s">
        <v>87</v>
      </c>
      <c r="E241" t="s">
        <v>1</v>
      </c>
      <c r="F241" t="s">
        <v>1639</v>
      </c>
      <c r="G241" t="s">
        <v>1232</v>
      </c>
      <c r="H241">
        <v>1</v>
      </c>
    </row>
    <row r="242" spans="1:8" x14ac:dyDescent="0.25">
      <c r="A242" t="s">
        <v>1658</v>
      </c>
      <c r="B242" t="s">
        <v>199</v>
      </c>
      <c r="C242" t="s">
        <v>246</v>
      </c>
      <c r="D242" t="s">
        <v>82</v>
      </c>
      <c r="E242" t="s">
        <v>1</v>
      </c>
      <c r="F242" t="s">
        <v>1659</v>
      </c>
      <c r="G242" t="s">
        <v>1232</v>
      </c>
      <c r="H242">
        <v>1</v>
      </c>
    </row>
    <row r="243" spans="1:8" x14ac:dyDescent="0.25">
      <c r="A243" t="s">
        <v>1660</v>
      </c>
      <c r="B243" t="s">
        <v>199</v>
      </c>
      <c r="C243" t="s">
        <v>291</v>
      </c>
      <c r="D243" t="s">
        <v>82</v>
      </c>
      <c r="E243" t="s">
        <v>1</v>
      </c>
      <c r="F243" t="s">
        <v>1661</v>
      </c>
      <c r="G243" t="s">
        <v>1232</v>
      </c>
      <c r="H243">
        <v>1</v>
      </c>
    </row>
    <row r="244" spans="1:8" x14ac:dyDescent="0.25">
      <c r="A244" t="s">
        <v>1662</v>
      </c>
      <c r="B244" t="s">
        <v>199</v>
      </c>
      <c r="C244" t="s">
        <v>451</v>
      </c>
      <c r="D244" t="s">
        <v>87</v>
      </c>
      <c r="E244" t="s">
        <v>1</v>
      </c>
      <c r="F244" t="s">
        <v>1639</v>
      </c>
      <c r="G244" t="s">
        <v>1232</v>
      </c>
      <c r="H244">
        <v>1</v>
      </c>
    </row>
    <row r="245" spans="1:8" x14ac:dyDescent="0.25">
      <c r="A245" t="s">
        <v>1663</v>
      </c>
      <c r="B245" t="s">
        <v>199</v>
      </c>
      <c r="C245" t="s">
        <v>460</v>
      </c>
      <c r="D245" t="s">
        <v>87</v>
      </c>
      <c r="E245" t="s">
        <v>1</v>
      </c>
      <c r="F245" t="s">
        <v>1639</v>
      </c>
      <c r="G245" t="s">
        <v>1232</v>
      </c>
      <c r="H245">
        <v>1</v>
      </c>
    </row>
    <row r="246" spans="1:8" x14ac:dyDescent="0.25">
      <c r="A246" t="s">
        <v>1664</v>
      </c>
      <c r="B246" t="s">
        <v>199</v>
      </c>
      <c r="C246" t="s">
        <v>486</v>
      </c>
      <c r="D246" t="s">
        <v>87</v>
      </c>
      <c r="E246" t="s">
        <v>1</v>
      </c>
      <c r="F246" t="s">
        <v>1639</v>
      </c>
      <c r="G246" t="s">
        <v>1232</v>
      </c>
      <c r="H246">
        <v>1</v>
      </c>
    </row>
    <row r="247" spans="1:8" x14ac:dyDescent="0.25">
      <c r="A247" t="s">
        <v>1665</v>
      </c>
      <c r="B247" t="s">
        <v>199</v>
      </c>
      <c r="C247" t="s">
        <v>495</v>
      </c>
      <c r="D247" t="s">
        <v>82</v>
      </c>
      <c r="E247" t="s">
        <v>1</v>
      </c>
      <c r="F247" t="s">
        <v>1666</v>
      </c>
      <c r="G247" t="s">
        <v>1232</v>
      </c>
      <c r="H247">
        <v>1</v>
      </c>
    </row>
    <row r="248" spans="1:8" x14ac:dyDescent="0.25">
      <c r="A248" t="s">
        <v>1667</v>
      </c>
      <c r="B248" t="s">
        <v>199</v>
      </c>
      <c r="C248" t="s">
        <v>522</v>
      </c>
      <c r="D248" t="s">
        <v>87</v>
      </c>
      <c r="E248" t="s">
        <v>1</v>
      </c>
      <c r="F248" t="s">
        <v>1639</v>
      </c>
      <c r="G248" t="s">
        <v>1232</v>
      </c>
      <c r="H248">
        <v>1</v>
      </c>
    </row>
    <row r="249" spans="1:8" x14ac:dyDescent="0.25">
      <c r="A249" t="s">
        <v>1668</v>
      </c>
      <c r="B249" t="s">
        <v>199</v>
      </c>
      <c r="C249" t="s">
        <v>531</v>
      </c>
      <c r="D249" t="s">
        <v>87</v>
      </c>
      <c r="E249" t="s">
        <v>1</v>
      </c>
      <c r="F249" t="s">
        <v>1639</v>
      </c>
      <c r="G249" t="s">
        <v>1232</v>
      </c>
      <c r="H249">
        <v>1</v>
      </c>
    </row>
    <row r="250" spans="1:8" x14ac:dyDescent="0.25">
      <c r="A250" t="s">
        <v>1669</v>
      </c>
      <c r="B250" t="s">
        <v>208</v>
      </c>
      <c r="C250" t="s">
        <v>226</v>
      </c>
      <c r="D250" t="s">
        <v>87</v>
      </c>
      <c r="E250" t="s">
        <v>1</v>
      </c>
      <c r="F250" t="s">
        <v>1652</v>
      </c>
      <c r="G250" t="s">
        <v>1232</v>
      </c>
      <c r="H250">
        <v>1</v>
      </c>
    </row>
    <row r="251" spans="1:8" x14ac:dyDescent="0.25">
      <c r="A251" t="s">
        <v>1670</v>
      </c>
      <c r="B251" t="s">
        <v>208</v>
      </c>
      <c r="C251" t="s">
        <v>346</v>
      </c>
      <c r="D251" t="s">
        <v>82</v>
      </c>
      <c r="E251" t="s">
        <v>1</v>
      </c>
      <c r="F251" t="s">
        <v>1671</v>
      </c>
      <c r="G251" t="s">
        <v>1232</v>
      </c>
      <c r="H251">
        <v>1</v>
      </c>
    </row>
    <row r="252" spans="1:8" x14ac:dyDescent="0.25">
      <c r="A252" t="s">
        <v>1672</v>
      </c>
      <c r="B252" t="s">
        <v>208</v>
      </c>
      <c r="C252" t="s">
        <v>372</v>
      </c>
      <c r="D252" t="s">
        <v>82</v>
      </c>
      <c r="E252" t="s">
        <v>1</v>
      </c>
      <c r="F252" t="s">
        <v>1673</v>
      </c>
      <c r="G252" t="s">
        <v>1232</v>
      </c>
      <c r="H252">
        <v>1</v>
      </c>
    </row>
    <row r="253" spans="1:8" x14ac:dyDescent="0.25">
      <c r="A253" t="s">
        <v>1674</v>
      </c>
      <c r="B253" t="s">
        <v>208</v>
      </c>
      <c r="C253" t="s">
        <v>425</v>
      </c>
      <c r="D253" t="s">
        <v>82</v>
      </c>
      <c r="E253" t="s">
        <v>1</v>
      </c>
      <c r="F253" t="s">
        <v>1539</v>
      </c>
      <c r="G253" t="s">
        <v>1232</v>
      </c>
      <c r="H253">
        <v>1</v>
      </c>
    </row>
    <row r="254" spans="1:8" x14ac:dyDescent="0.25">
      <c r="A254" t="s">
        <v>1675</v>
      </c>
      <c r="B254" t="s">
        <v>208</v>
      </c>
      <c r="C254" t="s">
        <v>451</v>
      </c>
      <c r="D254" t="s">
        <v>87</v>
      </c>
      <c r="E254" t="s">
        <v>1</v>
      </c>
      <c r="F254" t="s">
        <v>1652</v>
      </c>
      <c r="G254" t="s">
        <v>1232</v>
      </c>
      <c r="H254">
        <v>1</v>
      </c>
    </row>
    <row r="255" spans="1:8" x14ac:dyDescent="0.25">
      <c r="A255" t="s">
        <v>1676</v>
      </c>
      <c r="B255" t="s">
        <v>208</v>
      </c>
      <c r="C255" t="s">
        <v>469</v>
      </c>
      <c r="D255" t="s">
        <v>87</v>
      </c>
      <c r="E255" t="s">
        <v>1</v>
      </c>
      <c r="F255" t="s">
        <v>1646</v>
      </c>
      <c r="G255" t="s">
        <v>1232</v>
      </c>
      <c r="H255">
        <v>1</v>
      </c>
    </row>
    <row r="256" spans="1:8" x14ac:dyDescent="0.25">
      <c r="A256" t="s">
        <v>1677</v>
      </c>
      <c r="B256" t="s">
        <v>208</v>
      </c>
      <c r="C256" t="s">
        <v>486</v>
      </c>
      <c r="D256" t="s">
        <v>82</v>
      </c>
      <c r="E256" t="s">
        <v>1</v>
      </c>
      <c r="F256" t="s">
        <v>1678</v>
      </c>
      <c r="G256" t="s">
        <v>1223</v>
      </c>
      <c r="H256">
        <v>2</v>
      </c>
    </row>
    <row r="257" spans="1:8" x14ac:dyDescent="0.25">
      <c r="A257" t="s">
        <v>1679</v>
      </c>
      <c r="B257" t="s">
        <v>208</v>
      </c>
      <c r="C257" t="s">
        <v>513</v>
      </c>
      <c r="D257" t="s">
        <v>87</v>
      </c>
      <c r="E257" t="s">
        <v>1</v>
      </c>
      <c r="F257" t="s">
        <v>1646</v>
      </c>
      <c r="G257" t="s">
        <v>1232</v>
      </c>
      <c r="H257">
        <v>1</v>
      </c>
    </row>
    <row r="258" spans="1:8" x14ac:dyDescent="0.25">
      <c r="A258" t="s">
        <v>1680</v>
      </c>
      <c r="B258" t="s">
        <v>208</v>
      </c>
      <c r="C258" t="s">
        <v>522</v>
      </c>
      <c r="D258" t="s">
        <v>87</v>
      </c>
      <c r="E258" t="s">
        <v>1</v>
      </c>
      <c r="F258" t="s">
        <v>1652</v>
      </c>
      <c r="G258" t="s">
        <v>1232</v>
      </c>
      <c r="H258">
        <v>1</v>
      </c>
    </row>
    <row r="259" spans="1:8" x14ac:dyDescent="0.25">
      <c r="A259" t="s">
        <v>1681</v>
      </c>
      <c r="B259" t="s">
        <v>208</v>
      </c>
      <c r="C259" t="s">
        <v>531</v>
      </c>
      <c r="D259" t="s">
        <v>87</v>
      </c>
      <c r="E259" t="s">
        <v>1</v>
      </c>
      <c r="F259" t="s">
        <v>1652</v>
      </c>
      <c r="G259" t="s">
        <v>1232</v>
      </c>
      <c r="H259">
        <v>1</v>
      </c>
    </row>
    <row r="260" spans="1:8" x14ac:dyDescent="0.25">
      <c r="A260" t="s">
        <v>1682</v>
      </c>
      <c r="B260" t="s">
        <v>217</v>
      </c>
      <c r="C260" t="s">
        <v>237</v>
      </c>
      <c r="D260" t="s">
        <v>87</v>
      </c>
      <c r="E260" t="s">
        <v>1</v>
      </c>
      <c r="F260" t="s">
        <v>1639</v>
      </c>
      <c r="G260" t="s">
        <v>1232</v>
      </c>
      <c r="H260">
        <v>1</v>
      </c>
    </row>
    <row r="261" spans="1:8" x14ac:dyDescent="0.25">
      <c r="A261" t="s">
        <v>1683</v>
      </c>
      <c r="B261" t="s">
        <v>217</v>
      </c>
      <c r="C261" t="s">
        <v>451</v>
      </c>
      <c r="D261" t="s">
        <v>87</v>
      </c>
      <c r="E261" t="s">
        <v>1</v>
      </c>
      <c r="F261" t="s">
        <v>1639</v>
      </c>
      <c r="G261" t="s">
        <v>1232</v>
      </c>
      <c r="H261">
        <v>1</v>
      </c>
    </row>
    <row r="262" spans="1:8" x14ac:dyDescent="0.25">
      <c r="A262" t="s">
        <v>1684</v>
      </c>
      <c r="B262" t="s">
        <v>217</v>
      </c>
      <c r="C262" t="s">
        <v>460</v>
      </c>
      <c r="D262" t="s">
        <v>87</v>
      </c>
      <c r="E262" t="s">
        <v>1</v>
      </c>
      <c r="F262" t="s">
        <v>1639</v>
      </c>
      <c r="G262" t="s">
        <v>1232</v>
      </c>
      <c r="H262">
        <v>1</v>
      </c>
    </row>
    <row r="263" spans="1:8" x14ac:dyDescent="0.25">
      <c r="A263" t="s">
        <v>1685</v>
      </c>
      <c r="B263" t="s">
        <v>217</v>
      </c>
      <c r="C263" t="s">
        <v>469</v>
      </c>
      <c r="D263" t="s">
        <v>82</v>
      </c>
      <c r="E263" t="s">
        <v>1</v>
      </c>
      <c r="F263" t="s">
        <v>1686</v>
      </c>
      <c r="G263" t="s">
        <v>1223</v>
      </c>
      <c r="H263">
        <v>2</v>
      </c>
    </row>
    <row r="264" spans="1:8" x14ac:dyDescent="0.25">
      <c r="A264" t="s">
        <v>1687</v>
      </c>
      <c r="B264" t="s">
        <v>217</v>
      </c>
      <c r="C264" t="s">
        <v>477</v>
      </c>
      <c r="D264" t="s">
        <v>87</v>
      </c>
      <c r="E264" t="s">
        <v>1</v>
      </c>
      <c r="F264" t="s">
        <v>1688</v>
      </c>
      <c r="G264" t="s">
        <v>1232</v>
      </c>
      <c r="H264">
        <v>1</v>
      </c>
    </row>
    <row r="265" spans="1:8" x14ac:dyDescent="0.25">
      <c r="A265" t="s">
        <v>1689</v>
      </c>
      <c r="B265" t="s">
        <v>217</v>
      </c>
      <c r="C265" t="s">
        <v>513</v>
      </c>
      <c r="D265" t="s">
        <v>82</v>
      </c>
      <c r="E265" t="s">
        <v>1</v>
      </c>
      <c r="F265" t="s">
        <v>1690</v>
      </c>
      <c r="G265" t="s">
        <v>1232</v>
      </c>
      <c r="H265">
        <v>1</v>
      </c>
    </row>
    <row r="266" spans="1:8" x14ac:dyDescent="0.25">
      <c r="A266" t="s">
        <v>1691</v>
      </c>
      <c r="B266" t="s">
        <v>217</v>
      </c>
      <c r="C266" t="s">
        <v>522</v>
      </c>
      <c r="D266" t="s">
        <v>87</v>
      </c>
      <c r="E266" t="s">
        <v>1</v>
      </c>
      <c r="F266" t="s">
        <v>1639</v>
      </c>
      <c r="G266" t="s">
        <v>1232</v>
      </c>
      <c r="H266">
        <v>1</v>
      </c>
    </row>
    <row r="267" spans="1:8" x14ac:dyDescent="0.25">
      <c r="A267" t="s">
        <v>1692</v>
      </c>
      <c r="B267" t="s">
        <v>217</v>
      </c>
      <c r="C267" t="s">
        <v>531</v>
      </c>
      <c r="D267" t="s">
        <v>87</v>
      </c>
      <c r="E267" t="s">
        <v>1</v>
      </c>
      <c r="F267" t="s">
        <v>1639</v>
      </c>
      <c r="G267" t="s">
        <v>1232</v>
      </c>
      <c r="H267">
        <v>1</v>
      </c>
    </row>
    <row r="268" spans="1:8" x14ac:dyDescent="0.25">
      <c r="A268" t="s">
        <v>1693</v>
      </c>
      <c r="B268" t="s">
        <v>226</v>
      </c>
      <c r="C268" t="s">
        <v>291</v>
      </c>
      <c r="D268" t="s">
        <v>82</v>
      </c>
      <c r="E268" t="s">
        <v>1</v>
      </c>
      <c r="F268" t="s">
        <v>1659</v>
      </c>
      <c r="G268" t="s">
        <v>1232</v>
      </c>
      <c r="H268">
        <v>1</v>
      </c>
    </row>
    <row r="269" spans="1:8" x14ac:dyDescent="0.25">
      <c r="A269" t="s">
        <v>1694</v>
      </c>
      <c r="B269" t="s">
        <v>226</v>
      </c>
      <c r="C269" t="s">
        <v>460</v>
      </c>
      <c r="D269" t="s">
        <v>82</v>
      </c>
      <c r="E269" t="s">
        <v>1</v>
      </c>
      <c r="F269" t="s">
        <v>1583</v>
      </c>
      <c r="G269" t="s">
        <v>1232</v>
      </c>
      <c r="H269">
        <v>1</v>
      </c>
    </row>
    <row r="270" spans="1:8" x14ac:dyDescent="0.25">
      <c r="A270" t="s">
        <v>1695</v>
      </c>
      <c r="B270" t="s">
        <v>226</v>
      </c>
      <c r="C270" t="s">
        <v>469</v>
      </c>
      <c r="D270" t="s">
        <v>87</v>
      </c>
      <c r="E270" t="s">
        <v>1</v>
      </c>
      <c r="F270" t="s">
        <v>1652</v>
      </c>
      <c r="G270" t="s">
        <v>1232</v>
      </c>
      <c r="H270">
        <v>1</v>
      </c>
    </row>
    <row r="271" spans="1:8" x14ac:dyDescent="0.25">
      <c r="A271" t="s">
        <v>1696</v>
      </c>
      <c r="B271" t="s">
        <v>226</v>
      </c>
      <c r="C271" t="s">
        <v>477</v>
      </c>
      <c r="D271" t="s">
        <v>87</v>
      </c>
      <c r="E271" t="s">
        <v>1</v>
      </c>
      <c r="F271" t="s">
        <v>1652</v>
      </c>
      <c r="G271" t="s">
        <v>1232</v>
      </c>
      <c r="H271">
        <v>1</v>
      </c>
    </row>
    <row r="272" spans="1:8" x14ac:dyDescent="0.25">
      <c r="A272" t="s">
        <v>1697</v>
      </c>
      <c r="B272" t="s">
        <v>226</v>
      </c>
      <c r="C272" t="s">
        <v>504</v>
      </c>
      <c r="D272" t="s">
        <v>87</v>
      </c>
      <c r="E272" t="s">
        <v>1</v>
      </c>
      <c r="F272" t="s">
        <v>1652</v>
      </c>
      <c r="G272" t="s">
        <v>1232</v>
      </c>
      <c r="H272">
        <v>1</v>
      </c>
    </row>
    <row r="273" spans="1:8" x14ac:dyDescent="0.25">
      <c r="A273" t="s">
        <v>1698</v>
      </c>
      <c r="B273" t="s">
        <v>226</v>
      </c>
      <c r="C273" t="s">
        <v>513</v>
      </c>
      <c r="D273" t="s">
        <v>87</v>
      </c>
      <c r="E273" t="s">
        <v>1</v>
      </c>
      <c r="F273" t="s">
        <v>1652</v>
      </c>
      <c r="G273" t="s">
        <v>1232</v>
      </c>
      <c r="H273">
        <v>1</v>
      </c>
    </row>
    <row r="274" spans="1:8" x14ac:dyDescent="0.25">
      <c r="A274" t="s">
        <v>1699</v>
      </c>
      <c r="B274" t="s">
        <v>226</v>
      </c>
      <c r="C274" t="s">
        <v>531</v>
      </c>
      <c r="D274" t="s">
        <v>87</v>
      </c>
      <c r="E274" t="s">
        <v>1</v>
      </c>
      <c r="F274" t="s">
        <v>1652</v>
      </c>
      <c r="G274" t="s">
        <v>1232</v>
      </c>
      <c r="H274">
        <v>1</v>
      </c>
    </row>
    <row r="275" spans="1:8" x14ac:dyDescent="0.25">
      <c r="A275" t="s">
        <v>1700</v>
      </c>
      <c r="B275" t="s">
        <v>237</v>
      </c>
      <c r="C275" t="s">
        <v>246</v>
      </c>
      <c r="D275" t="s">
        <v>87</v>
      </c>
      <c r="E275" t="s">
        <v>1</v>
      </c>
      <c r="F275" t="s">
        <v>1599</v>
      </c>
      <c r="G275" t="s">
        <v>1232</v>
      </c>
      <c r="H275">
        <v>1</v>
      </c>
    </row>
    <row r="276" spans="1:8" x14ac:dyDescent="0.25">
      <c r="A276" t="s">
        <v>1701</v>
      </c>
      <c r="B276" t="s">
        <v>237</v>
      </c>
      <c r="C276" t="s">
        <v>264</v>
      </c>
      <c r="D276" t="s">
        <v>87</v>
      </c>
      <c r="E276" t="s">
        <v>1</v>
      </c>
      <c r="F276" t="s">
        <v>1599</v>
      </c>
      <c r="G276" t="s">
        <v>1232</v>
      </c>
      <c r="H276">
        <v>1</v>
      </c>
    </row>
    <row r="277" spans="1:8" x14ac:dyDescent="0.25">
      <c r="A277" t="s">
        <v>1702</v>
      </c>
      <c r="B277" t="s">
        <v>237</v>
      </c>
      <c r="C277" t="s">
        <v>273</v>
      </c>
      <c r="D277" t="s">
        <v>87</v>
      </c>
      <c r="E277" t="s">
        <v>1</v>
      </c>
      <c r="F277" t="s">
        <v>1605</v>
      </c>
      <c r="G277" t="s">
        <v>1232</v>
      </c>
      <c r="H277">
        <v>1</v>
      </c>
    </row>
    <row r="278" spans="1:8" x14ac:dyDescent="0.25">
      <c r="A278" t="s">
        <v>1703</v>
      </c>
      <c r="B278" t="s">
        <v>237</v>
      </c>
      <c r="C278" t="s">
        <v>291</v>
      </c>
      <c r="D278" t="s">
        <v>87</v>
      </c>
      <c r="E278" t="s">
        <v>1</v>
      </c>
      <c r="F278" t="s">
        <v>1599</v>
      </c>
      <c r="G278" t="s">
        <v>1232</v>
      </c>
      <c r="H278">
        <v>1</v>
      </c>
    </row>
    <row r="279" spans="1:8" x14ac:dyDescent="0.25">
      <c r="A279" t="s">
        <v>1704</v>
      </c>
      <c r="B279" t="s">
        <v>237</v>
      </c>
      <c r="C279" t="s">
        <v>382</v>
      </c>
      <c r="D279" t="s">
        <v>82</v>
      </c>
      <c r="E279" t="s">
        <v>1</v>
      </c>
      <c r="F279" t="s">
        <v>1659</v>
      </c>
      <c r="G279" t="s">
        <v>1232</v>
      </c>
      <c r="H279">
        <v>1</v>
      </c>
    </row>
    <row r="280" spans="1:8" x14ac:dyDescent="0.25">
      <c r="A280" t="s">
        <v>1705</v>
      </c>
      <c r="B280" t="s">
        <v>237</v>
      </c>
      <c r="C280" t="s">
        <v>409</v>
      </c>
      <c r="D280" t="s">
        <v>82</v>
      </c>
      <c r="E280" t="s">
        <v>1</v>
      </c>
      <c r="F280" t="s">
        <v>1608</v>
      </c>
      <c r="G280" t="s">
        <v>1232</v>
      </c>
      <c r="H280">
        <v>1</v>
      </c>
    </row>
    <row r="281" spans="1:8" x14ac:dyDescent="0.25">
      <c r="A281" t="s">
        <v>1706</v>
      </c>
      <c r="B281" t="s">
        <v>237</v>
      </c>
      <c r="C281" t="s">
        <v>417</v>
      </c>
      <c r="D281" t="s">
        <v>82</v>
      </c>
      <c r="E281" t="s">
        <v>1</v>
      </c>
      <c r="F281" t="s">
        <v>1650</v>
      </c>
      <c r="G281" t="s">
        <v>1232</v>
      </c>
      <c r="H281">
        <v>1</v>
      </c>
    </row>
    <row r="282" spans="1:8" x14ac:dyDescent="0.25">
      <c r="A282" t="s">
        <v>1707</v>
      </c>
      <c r="B282" t="s">
        <v>237</v>
      </c>
      <c r="C282" t="s">
        <v>451</v>
      </c>
      <c r="D282" t="s">
        <v>87</v>
      </c>
      <c r="E282" t="s">
        <v>1</v>
      </c>
      <c r="F282" t="s">
        <v>1639</v>
      </c>
      <c r="G282" t="s">
        <v>1232</v>
      </c>
      <c r="H282">
        <v>1</v>
      </c>
    </row>
    <row r="283" spans="1:8" x14ac:dyDescent="0.25">
      <c r="A283" t="s">
        <v>1708</v>
      </c>
      <c r="B283" t="s">
        <v>237</v>
      </c>
      <c r="C283" t="s">
        <v>460</v>
      </c>
      <c r="D283" t="s">
        <v>87</v>
      </c>
      <c r="E283" t="s">
        <v>1</v>
      </c>
      <c r="F283" t="s">
        <v>1639</v>
      </c>
      <c r="G283" t="s">
        <v>1232</v>
      </c>
      <c r="H283">
        <v>1</v>
      </c>
    </row>
    <row r="284" spans="1:8" x14ac:dyDescent="0.25">
      <c r="A284" t="s">
        <v>1709</v>
      </c>
      <c r="B284" t="s">
        <v>237</v>
      </c>
      <c r="C284" t="s">
        <v>486</v>
      </c>
      <c r="D284" t="s">
        <v>87</v>
      </c>
      <c r="E284" t="s">
        <v>1</v>
      </c>
      <c r="F284" t="s">
        <v>1639</v>
      </c>
      <c r="G284" t="s">
        <v>1232</v>
      </c>
      <c r="H284">
        <v>1</v>
      </c>
    </row>
    <row r="285" spans="1:8" x14ac:dyDescent="0.25">
      <c r="A285" t="s">
        <v>1710</v>
      </c>
      <c r="B285" t="s">
        <v>237</v>
      </c>
      <c r="C285" t="s">
        <v>522</v>
      </c>
      <c r="D285" t="s">
        <v>87</v>
      </c>
      <c r="E285" t="s">
        <v>1</v>
      </c>
      <c r="F285" t="s">
        <v>1639</v>
      </c>
      <c r="G285" t="s">
        <v>1232</v>
      </c>
      <c r="H285">
        <v>1</v>
      </c>
    </row>
    <row r="286" spans="1:8" x14ac:dyDescent="0.25">
      <c r="A286" t="s">
        <v>1711</v>
      </c>
      <c r="B286" t="s">
        <v>237</v>
      </c>
      <c r="C286" t="s">
        <v>531</v>
      </c>
      <c r="D286" t="s">
        <v>87</v>
      </c>
      <c r="E286" t="s">
        <v>1</v>
      </c>
      <c r="F286" t="s">
        <v>1639</v>
      </c>
      <c r="G286" t="s">
        <v>1232</v>
      </c>
      <c r="H286">
        <v>1</v>
      </c>
    </row>
    <row r="287" spans="1:8" x14ac:dyDescent="0.25">
      <c r="A287" t="s">
        <v>1712</v>
      </c>
      <c r="B287" t="s">
        <v>237</v>
      </c>
      <c r="C287" t="s">
        <v>576</v>
      </c>
      <c r="D287" t="s">
        <v>87</v>
      </c>
      <c r="E287" t="s">
        <v>1</v>
      </c>
      <c r="F287" t="s">
        <v>1605</v>
      </c>
      <c r="G287" t="s">
        <v>1232</v>
      </c>
      <c r="H287">
        <v>1</v>
      </c>
    </row>
    <row r="288" spans="1:8" x14ac:dyDescent="0.25">
      <c r="A288" t="s">
        <v>1713</v>
      </c>
      <c r="B288" t="s">
        <v>237</v>
      </c>
      <c r="C288" t="s">
        <v>584</v>
      </c>
      <c r="D288" t="s">
        <v>87</v>
      </c>
      <c r="E288" t="s">
        <v>1</v>
      </c>
      <c r="F288" t="s">
        <v>1599</v>
      </c>
      <c r="G288" t="s">
        <v>1232</v>
      </c>
      <c r="H288">
        <v>1</v>
      </c>
    </row>
    <row r="289" spans="1:8" x14ac:dyDescent="0.25">
      <c r="A289" t="s">
        <v>1714</v>
      </c>
      <c r="B289" t="s">
        <v>237</v>
      </c>
      <c r="C289" t="s">
        <v>593</v>
      </c>
      <c r="D289" t="s">
        <v>87</v>
      </c>
      <c r="E289" t="s">
        <v>1</v>
      </c>
      <c r="F289" t="s">
        <v>1613</v>
      </c>
      <c r="G289" t="s">
        <v>1232</v>
      </c>
      <c r="H289">
        <v>1</v>
      </c>
    </row>
    <row r="290" spans="1:8" x14ac:dyDescent="0.25">
      <c r="A290" t="s">
        <v>1715</v>
      </c>
      <c r="B290" t="s">
        <v>237</v>
      </c>
      <c r="C290" t="s">
        <v>602</v>
      </c>
      <c r="D290" t="s">
        <v>87</v>
      </c>
      <c r="E290" t="s">
        <v>1</v>
      </c>
      <c r="F290" t="s">
        <v>1613</v>
      </c>
      <c r="G290" t="s">
        <v>1232</v>
      </c>
      <c r="H290">
        <v>1</v>
      </c>
    </row>
    <row r="291" spans="1:8" x14ac:dyDescent="0.25">
      <c r="A291" t="s">
        <v>1716</v>
      </c>
      <c r="B291" t="s">
        <v>237</v>
      </c>
      <c r="C291" t="s">
        <v>611</v>
      </c>
      <c r="D291" t="s">
        <v>87</v>
      </c>
      <c r="E291" t="s">
        <v>1</v>
      </c>
      <c r="F291" t="s">
        <v>1605</v>
      </c>
      <c r="G291" t="s">
        <v>1232</v>
      </c>
      <c r="H291">
        <v>1</v>
      </c>
    </row>
    <row r="292" spans="1:8" x14ac:dyDescent="0.25">
      <c r="A292" t="s">
        <v>1717</v>
      </c>
      <c r="B292" t="s">
        <v>237</v>
      </c>
      <c r="C292" t="s">
        <v>620</v>
      </c>
      <c r="D292" t="s">
        <v>87</v>
      </c>
      <c r="E292" t="s">
        <v>1</v>
      </c>
      <c r="F292" t="s">
        <v>1605</v>
      </c>
      <c r="G292" t="s">
        <v>1232</v>
      </c>
      <c r="H292">
        <v>1</v>
      </c>
    </row>
    <row r="293" spans="1:8" x14ac:dyDescent="0.25">
      <c r="A293" t="s">
        <v>1718</v>
      </c>
      <c r="B293" t="s">
        <v>237</v>
      </c>
      <c r="C293" t="s">
        <v>628</v>
      </c>
      <c r="D293" t="s">
        <v>87</v>
      </c>
      <c r="E293" t="s">
        <v>1</v>
      </c>
      <c r="F293" t="s">
        <v>1605</v>
      </c>
      <c r="G293" t="s">
        <v>1232</v>
      </c>
      <c r="H293">
        <v>1</v>
      </c>
    </row>
    <row r="294" spans="1:8" x14ac:dyDescent="0.25">
      <c r="A294" t="s">
        <v>1719</v>
      </c>
      <c r="B294" t="s">
        <v>237</v>
      </c>
      <c r="C294" t="s">
        <v>637</v>
      </c>
      <c r="D294" t="s">
        <v>87</v>
      </c>
      <c r="E294" t="s">
        <v>1</v>
      </c>
      <c r="F294" t="s">
        <v>1599</v>
      </c>
      <c r="G294" t="s">
        <v>1232</v>
      </c>
      <c r="H294">
        <v>1</v>
      </c>
    </row>
    <row r="295" spans="1:8" x14ac:dyDescent="0.25">
      <c r="A295" t="s">
        <v>1720</v>
      </c>
      <c r="B295" t="s">
        <v>237</v>
      </c>
      <c r="C295" t="s">
        <v>646</v>
      </c>
      <c r="D295" t="s">
        <v>87</v>
      </c>
      <c r="E295" t="s">
        <v>1</v>
      </c>
      <c r="F295" t="s">
        <v>1605</v>
      </c>
      <c r="G295" t="s">
        <v>1232</v>
      </c>
      <c r="H295">
        <v>1</v>
      </c>
    </row>
    <row r="296" spans="1:8" x14ac:dyDescent="0.25">
      <c r="A296" t="s">
        <v>1721</v>
      </c>
      <c r="B296" t="s">
        <v>237</v>
      </c>
      <c r="C296" t="s">
        <v>656</v>
      </c>
      <c r="D296" t="s">
        <v>87</v>
      </c>
      <c r="E296" t="s">
        <v>1</v>
      </c>
      <c r="F296" t="s">
        <v>1605</v>
      </c>
      <c r="G296" t="s">
        <v>1232</v>
      </c>
      <c r="H296">
        <v>1</v>
      </c>
    </row>
    <row r="297" spans="1:8" x14ac:dyDescent="0.25">
      <c r="A297" t="s">
        <v>1722</v>
      </c>
      <c r="B297" t="s">
        <v>246</v>
      </c>
      <c r="C297" t="s">
        <v>255</v>
      </c>
      <c r="D297" t="s">
        <v>87</v>
      </c>
      <c r="E297" t="s">
        <v>1</v>
      </c>
      <c r="F297" t="s">
        <v>1599</v>
      </c>
      <c r="G297" t="s">
        <v>1232</v>
      </c>
      <c r="H297">
        <v>1</v>
      </c>
    </row>
    <row r="298" spans="1:8" x14ac:dyDescent="0.25">
      <c r="A298" t="s">
        <v>1723</v>
      </c>
      <c r="B298" t="s">
        <v>246</v>
      </c>
      <c r="C298" t="s">
        <v>273</v>
      </c>
      <c r="D298" t="s">
        <v>87</v>
      </c>
      <c r="E298" t="s">
        <v>1</v>
      </c>
      <c r="F298" t="s">
        <v>1605</v>
      </c>
      <c r="G298" t="s">
        <v>1232</v>
      </c>
      <c r="H298">
        <v>1</v>
      </c>
    </row>
    <row r="299" spans="1:8" x14ac:dyDescent="0.25">
      <c r="A299" t="s">
        <v>1724</v>
      </c>
      <c r="B299" t="s">
        <v>246</v>
      </c>
      <c r="C299" t="s">
        <v>540</v>
      </c>
      <c r="D299" t="s">
        <v>82</v>
      </c>
      <c r="E299" t="s">
        <v>1</v>
      </c>
      <c r="F299" t="s">
        <v>1725</v>
      </c>
      <c r="G299" t="s">
        <v>1232</v>
      </c>
      <c r="H299">
        <v>1</v>
      </c>
    </row>
    <row r="300" spans="1:8" x14ac:dyDescent="0.25">
      <c r="A300" t="s">
        <v>1726</v>
      </c>
      <c r="B300" t="s">
        <v>246</v>
      </c>
      <c r="C300" t="s">
        <v>576</v>
      </c>
      <c r="D300" t="s">
        <v>87</v>
      </c>
      <c r="E300" t="s">
        <v>1</v>
      </c>
      <c r="F300" t="s">
        <v>1605</v>
      </c>
      <c r="G300" t="s">
        <v>1232</v>
      </c>
      <c r="H300">
        <v>1</v>
      </c>
    </row>
    <row r="301" spans="1:8" x14ac:dyDescent="0.25">
      <c r="A301" t="s">
        <v>1727</v>
      </c>
      <c r="B301" t="s">
        <v>246</v>
      </c>
      <c r="C301" t="s">
        <v>584</v>
      </c>
      <c r="D301" t="s">
        <v>87</v>
      </c>
      <c r="E301" t="s">
        <v>1</v>
      </c>
      <c r="F301" t="s">
        <v>1599</v>
      </c>
      <c r="G301" t="s">
        <v>1232</v>
      </c>
      <c r="H301">
        <v>1</v>
      </c>
    </row>
    <row r="302" spans="1:8" x14ac:dyDescent="0.25">
      <c r="A302" t="s">
        <v>1728</v>
      </c>
      <c r="B302" t="s">
        <v>246</v>
      </c>
      <c r="C302" t="s">
        <v>593</v>
      </c>
      <c r="D302" t="s">
        <v>82</v>
      </c>
      <c r="E302" t="s">
        <v>1</v>
      </c>
      <c r="F302" t="s">
        <v>1569</v>
      </c>
      <c r="G302" t="s">
        <v>1232</v>
      </c>
      <c r="H302">
        <v>1</v>
      </c>
    </row>
    <row r="303" spans="1:8" x14ac:dyDescent="0.25">
      <c r="A303" t="s">
        <v>1729</v>
      </c>
      <c r="B303" t="s">
        <v>246</v>
      </c>
      <c r="C303" t="s">
        <v>602</v>
      </c>
      <c r="D303" t="s">
        <v>87</v>
      </c>
      <c r="E303" t="s">
        <v>1</v>
      </c>
      <c r="F303" t="s">
        <v>1613</v>
      </c>
      <c r="G303" t="s">
        <v>1232</v>
      </c>
      <c r="H303">
        <v>1</v>
      </c>
    </row>
    <row r="304" spans="1:8" x14ac:dyDescent="0.25">
      <c r="A304" t="s">
        <v>1730</v>
      </c>
      <c r="B304" t="s">
        <v>246</v>
      </c>
      <c r="C304" t="s">
        <v>611</v>
      </c>
      <c r="D304" t="s">
        <v>87</v>
      </c>
      <c r="E304" t="s">
        <v>1</v>
      </c>
      <c r="F304" t="s">
        <v>1605</v>
      </c>
      <c r="G304" t="s">
        <v>1232</v>
      </c>
      <c r="H304">
        <v>1</v>
      </c>
    </row>
    <row r="305" spans="1:8" x14ac:dyDescent="0.25">
      <c r="A305" t="s">
        <v>1731</v>
      </c>
      <c r="B305" t="s">
        <v>246</v>
      </c>
      <c r="C305" t="s">
        <v>620</v>
      </c>
      <c r="D305" t="s">
        <v>87</v>
      </c>
      <c r="E305" t="s">
        <v>1</v>
      </c>
      <c r="F305" t="s">
        <v>1605</v>
      </c>
      <c r="G305" t="s">
        <v>1232</v>
      </c>
      <c r="H305">
        <v>1</v>
      </c>
    </row>
    <row r="306" spans="1:8" x14ac:dyDescent="0.25">
      <c r="A306" t="s">
        <v>1732</v>
      </c>
      <c r="B306" t="s">
        <v>246</v>
      </c>
      <c r="C306" t="s">
        <v>628</v>
      </c>
      <c r="D306" t="s">
        <v>87</v>
      </c>
      <c r="E306" t="s">
        <v>1</v>
      </c>
      <c r="F306" t="s">
        <v>1605</v>
      </c>
      <c r="G306" t="s">
        <v>1232</v>
      </c>
      <c r="H306">
        <v>1</v>
      </c>
    </row>
    <row r="307" spans="1:8" x14ac:dyDescent="0.25">
      <c r="A307" t="s">
        <v>1733</v>
      </c>
      <c r="B307" t="s">
        <v>246</v>
      </c>
      <c r="C307" t="s">
        <v>646</v>
      </c>
      <c r="D307" t="s">
        <v>87</v>
      </c>
      <c r="E307" t="s">
        <v>1</v>
      </c>
      <c r="F307" t="s">
        <v>1605</v>
      </c>
      <c r="G307" t="s">
        <v>1232</v>
      </c>
      <c r="H307">
        <v>1</v>
      </c>
    </row>
    <row r="308" spans="1:8" x14ac:dyDescent="0.25">
      <c r="A308" t="s">
        <v>1734</v>
      </c>
      <c r="B308" t="s">
        <v>246</v>
      </c>
      <c r="C308" t="s">
        <v>656</v>
      </c>
      <c r="D308" t="s">
        <v>87</v>
      </c>
      <c r="E308" t="s">
        <v>1</v>
      </c>
      <c r="F308" t="s">
        <v>1605</v>
      </c>
      <c r="G308" t="s">
        <v>1232</v>
      </c>
      <c r="H308">
        <v>1</v>
      </c>
    </row>
    <row r="309" spans="1:8" x14ac:dyDescent="0.25">
      <c r="A309" t="s">
        <v>1735</v>
      </c>
      <c r="B309" t="s">
        <v>255</v>
      </c>
      <c r="C309" t="s">
        <v>264</v>
      </c>
      <c r="D309" t="s">
        <v>87</v>
      </c>
      <c r="E309" t="s">
        <v>1</v>
      </c>
      <c r="F309" t="s">
        <v>1599</v>
      </c>
      <c r="G309" t="s">
        <v>1232</v>
      </c>
      <c r="H309">
        <v>1</v>
      </c>
    </row>
    <row r="310" spans="1:8" x14ac:dyDescent="0.25">
      <c r="A310" t="s">
        <v>1736</v>
      </c>
      <c r="B310" t="s">
        <v>255</v>
      </c>
      <c r="C310" t="s">
        <v>273</v>
      </c>
      <c r="D310" t="s">
        <v>87</v>
      </c>
      <c r="E310" t="s">
        <v>1</v>
      </c>
      <c r="F310" t="s">
        <v>1605</v>
      </c>
      <c r="G310" t="s">
        <v>1232</v>
      </c>
      <c r="H310">
        <v>1</v>
      </c>
    </row>
    <row r="311" spans="1:8" x14ac:dyDescent="0.25">
      <c r="A311" t="s">
        <v>1737</v>
      </c>
      <c r="B311" t="s">
        <v>255</v>
      </c>
      <c r="C311" t="s">
        <v>291</v>
      </c>
      <c r="D311" t="s">
        <v>87</v>
      </c>
      <c r="E311" t="s">
        <v>1</v>
      </c>
      <c r="F311" t="s">
        <v>1599</v>
      </c>
      <c r="G311" t="s">
        <v>1232</v>
      </c>
      <c r="H311">
        <v>1</v>
      </c>
    </row>
    <row r="312" spans="1:8" x14ac:dyDescent="0.25">
      <c r="A312" t="s">
        <v>1738</v>
      </c>
      <c r="B312" t="s">
        <v>255</v>
      </c>
      <c r="C312" t="s">
        <v>576</v>
      </c>
      <c r="D312" t="s">
        <v>87</v>
      </c>
      <c r="E312" t="s">
        <v>1</v>
      </c>
      <c r="F312" t="s">
        <v>1605</v>
      </c>
      <c r="G312" t="s">
        <v>1232</v>
      </c>
      <c r="H312">
        <v>1</v>
      </c>
    </row>
    <row r="313" spans="1:8" x14ac:dyDescent="0.25">
      <c r="A313" t="s">
        <v>1739</v>
      </c>
      <c r="B313" t="s">
        <v>255</v>
      </c>
      <c r="C313" t="s">
        <v>584</v>
      </c>
      <c r="D313" t="s">
        <v>87</v>
      </c>
      <c r="E313" t="s">
        <v>1</v>
      </c>
      <c r="F313" t="s">
        <v>1599</v>
      </c>
      <c r="G313" t="s">
        <v>1232</v>
      </c>
      <c r="H313">
        <v>1</v>
      </c>
    </row>
    <row r="314" spans="1:8" x14ac:dyDescent="0.25">
      <c r="A314" t="s">
        <v>1740</v>
      </c>
      <c r="B314" t="s">
        <v>255</v>
      </c>
      <c r="C314" t="s">
        <v>593</v>
      </c>
      <c r="D314" t="s">
        <v>87</v>
      </c>
      <c r="E314" t="s">
        <v>1</v>
      </c>
      <c r="F314" t="s">
        <v>1613</v>
      </c>
      <c r="G314" t="s">
        <v>1232</v>
      </c>
      <c r="H314">
        <v>1</v>
      </c>
    </row>
    <row r="315" spans="1:8" x14ac:dyDescent="0.25">
      <c r="A315" t="s">
        <v>1741</v>
      </c>
      <c r="B315" t="s">
        <v>255</v>
      </c>
      <c r="C315" t="s">
        <v>602</v>
      </c>
      <c r="D315" t="s">
        <v>87</v>
      </c>
      <c r="E315" t="s">
        <v>1</v>
      </c>
      <c r="F315" t="s">
        <v>1613</v>
      </c>
      <c r="G315" t="s">
        <v>1232</v>
      </c>
      <c r="H315">
        <v>1</v>
      </c>
    </row>
    <row r="316" spans="1:8" x14ac:dyDescent="0.25">
      <c r="A316" t="s">
        <v>1742</v>
      </c>
      <c r="B316" t="s">
        <v>255</v>
      </c>
      <c r="C316" t="s">
        <v>611</v>
      </c>
      <c r="D316" t="s">
        <v>87</v>
      </c>
      <c r="E316" t="s">
        <v>1</v>
      </c>
      <c r="F316" t="s">
        <v>1605</v>
      </c>
      <c r="G316" t="s">
        <v>1232</v>
      </c>
      <c r="H316">
        <v>1</v>
      </c>
    </row>
    <row r="317" spans="1:8" x14ac:dyDescent="0.25">
      <c r="A317" t="s">
        <v>1743</v>
      </c>
      <c r="B317" t="s">
        <v>255</v>
      </c>
      <c r="C317" t="s">
        <v>620</v>
      </c>
      <c r="D317" t="s">
        <v>87</v>
      </c>
      <c r="E317" t="s">
        <v>1</v>
      </c>
      <c r="F317" t="s">
        <v>1605</v>
      </c>
      <c r="G317" t="s">
        <v>1232</v>
      </c>
      <c r="H317">
        <v>1</v>
      </c>
    </row>
    <row r="318" spans="1:8" x14ac:dyDescent="0.25">
      <c r="A318" t="s">
        <v>1744</v>
      </c>
      <c r="B318" t="s">
        <v>255</v>
      </c>
      <c r="C318" t="s">
        <v>628</v>
      </c>
      <c r="D318" t="s">
        <v>87</v>
      </c>
      <c r="E318" t="s">
        <v>1</v>
      </c>
      <c r="F318" t="s">
        <v>1605</v>
      </c>
      <c r="G318" t="s">
        <v>1232</v>
      </c>
      <c r="H318">
        <v>1</v>
      </c>
    </row>
    <row r="319" spans="1:8" x14ac:dyDescent="0.25">
      <c r="A319" t="s">
        <v>1745</v>
      </c>
      <c r="B319" t="s">
        <v>255</v>
      </c>
      <c r="C319" t="s">
        <v>637</v>
      </c>
      <c r="D319" t="s">
        <v>87</v>
      </c>
      <c r="E319" t="s">
        <v>1</v>
      </c>
      <c r="F319" t="s">
        <v>1599</v>
      </c>
      <c r="G319" t="s">
        <v>1232</v>
      </c>
      <c r="H319">
        <v>1</v>
      </c>
    </row>
    <row r="320" spans="1:8" x14ac:dyDescent="0.25">
      <c r="A320" t="s">
        <v>1746</v>
      </c>
      <c r="B320" t="s">
        <v>255</v>
      </c>
      <c r="C320" t="s">
        <v>646</v>
      </c>
      <c r="D320" t="s">
        <v>87</v>
      </c>
      <c r="E320" t="s">
        <v>1</v>
      </c>
      <c r="F320" t="s">
        <v>1605</v>
      </c>
      <c r="G320" t="s">
        <v>1232</v>
      </c>
      <c r="H320">
        <v>1</v>
      </c>
    </row>
    <row r="321" spans="1:8" x14ac:dyDescent="0.25">
      <c r="A321" t="s">
        <v>1747</v>
      </c>
      <c r="B321" t="s">
        <v>255</v>
      </c>
      <c r="C321" t="s">
        <v>656</v>
      </c>
      <c r="D321" t="s">
        <v>87</v>
      </c>
      <c r="E321" t="s">
        <v>1</v>
      </c>
      <c r="F321" t="s">
        <v>1605</v>
      </c>
      <c r="G321" t="s">
        <v>1232</v>
      </c>
      <c r="H321">
        <v>1</v>
      </c>
    </row>
    <row r="322" spans="1:8" x14ac:dyDescent="0.25">
      <c r="A322" t="s">
        <v>1748</v>
      </c>
      <c r="B322" t="s">
        <v>264</v>
      </c>
      <c r="C322" t="s">
        <v>291</v>
      </c>
      <c r="D322" t="s">
        <v>87</v>
      </c>
      <c r="E322" t="s">
        <v>1</v>
      </c>
      <c r="F322" t="s">
        <v>1599</v>
      </c>
      <c r="G322" t="s">
        <v>1232</v>
      </c>
      <c r="H322">
        <v>1</v>
      </c>
    </row>
    <row r="323" spans="1:8" x14ac:dyDescent="0.25">
      <c r="A323" t="s">
        <v>1749</v>
      </c>
      <c r="B323" t="s">
        <v>264</v>
      </c>
      <c r="C323" t="s">
        <v>593</v>
      </c>
      <c r="D323" t="s">
        <v>87</v>
      </c>
      <c r="E323" t="s">
        <v>1</v>
      </c>
      <c r="F323" t="s">
        <v>1613</v>
      </c>
      <c r="G323" t="s">
        <v>1232</v>
      </c>
      <c r="H323">
        <v>1</v>
      </c>
    </row>
    <row r="324" spans="1:8" x14ac:dyDescent="0.25">
      <c r="A324" t="s">
        <v>1750</v>
      </c>
      <c r="B324" t="s">
        <v>264</v>
      </c>
      <c r="C324" t="s">
        <v>602</v>
      </c>
      <c r="D324" t="s">
        <v>87</v>
      </c>
      <c r="E324" t="s">
        <v>1</v>
      </c>
      <c r="F324" t="s">
        <v>1613</v>
      </c>
      <c r="G324" t="s">
        <v>1232</v>
      </c>
      <c r="H324">
        <v>1</v>
      </c>
    </row>
    <row r="325" spans="1:8" x14ac:dyDescent="0.25">
      <c r="A325" t="s">
        <v>1751</v>
      </c>
      <c r="B325" t="s">
        <v>264</v>
      </c>
      <c r="C325" t="s">
        <v>611</v>
      </c>
      <c r="D325" t="s">
        <v>87</v>
      </c>
      <c r="E325" t="s">
        <v>1</v>
      </c>
      <c r="F325" t="s">
        <v>1605</v>
      </c>
      <c r="G325" t="s">
        <v>1232</v>
      </c>
      <c r="H325">
        <v>1</v>
      </c>
    </row>
    <row r="326" spans="1:8" x14ac:dyDescent="0.25">
      <c r="A326" t="s">
        <v>1752</v>
      </c>
      <c r="B326" t="s">
        <v>264</v>
      </c>
      <c r="C326" t="s">
        <v>620</v>
      </c>
      <c r="D326" t="s">
        <v>87</v>
      </c>
      <c r="E326" t="s">
        <v>1</v>
      </c>
      <c r="F326" t="s">
        <v>1605</v>
      </c>
      <c r="G326" t="s">
        <v>1232</v>
      </c>
      <c r="H326">
        <v>1</v>
      </c>
    </row>
    <row r="327" spans="1:8" x14ac:dyDescent="0.25">
      <c r="A327" t="s">
        <v>1753</v>
      </c>
      <c r="B327" t="s">
        <v>264</v>
      </c>
      <c r="C327" t="s">
        <v>637</v>
      </c>
      <c r="D327" t="s">
        <v>87</v>
      </c>
      <c r="E327" t="s">
        <v>1</v>
      </c>
      <c r="F327" t="s">
        <v>1599</v>
      </c>
      <c r="G327" t="s">
        <v>1232</v>
      </c>
      <c r="H327">
        <v>1</v>
      </c>
    </row>
    <row r="328" spans="1:8" x14ac:dyDescent="0.25">
      <c r="A328" t="s">
        <v>1754</v>
      </c>
      <c r="B328" t="s">
        <v>264</v>
      </c>
      <c r="C328" t="s">
        <v>646</v>
      </c>
      <c r="D328" t="s">
        <v>87</v>
      </c>
      <c r="E328" t="s">
        <v>1</v>
      </c>
      <c r="F328" t="s">
        <v>1605</v>
      </c>
      <c r="G328" t="s">
        <v>1232</v>
      </c>
      <c r="H328">
        <v>1</v>
      </c>
    </row>
    <row r="329" spans="1:8" x14ac:dyDescent="0.25">
      <c r="A329" t="s">
        <v>1755</v>
      </c>
      <c r="B329" t="s">
        <v>264</v>
      </c>
      <c r="C329" t="s">
        <v>656</v>
      </c>
      <c r="D329" t="s">
        <v>82</v>
      </c>
      <c r="E329" t="s">
        <v>1</v>
      </c>
      <c r="F329" t="s">
        <v>1666</v>
      </c>
      <c r="G329" t="s">
        <v>1232</v>
      </c>
      <c r="H329">
        <v>1</v>
      </c>
    </row>
    <row r="330" spans="1:8" x14ac:dyDescent="0.25">
      <c r="A330" t="s">
        <v>1756</v>
      </c>
      <c r="B330" t="s">
        <v>273</v>
      </c>
      <c r="C330" t="s">
        <v>291</v>
      </c>
      <c r="D330" t="s">
        <v>87</v>
      </c>
      <c r="E330" t="s">
        <v>1</v>
      </c>
      <c r="F330" t="s">
        <v>1605</v>
      </c>
      <c r="G330" t="s">
        <v>1232</v>
      </c>
      <c r="H330">
        <v>1</v>
      </c>
    </row>
    <row r="331" spans="1:8" x14ac:dyDescent="0.25">
      <c r="A331" t="s">
        <v>1757</v>
      </c>
      <c r="B331" t="s">
        <v>273</v>
      </c>
      <c r="C331" t="s">
        <v>576</v>
      </c>
      <c r="D331" t="s">
        <v>87</v>
      </c>
      <c r="E331" t="s">
        <v>1</v>
      </c>
      <c r="F331" t="s">
        <v>1605</v>
      </c>
      <c r="G331" t="s">
        <v>1232</v>
      </c>
      <c r="H331">
        <v>1</v>
      </c>
    </row>
    <row r="332" spans="1:8" x14ac:dyDescent="0.25">
      <c r="A332" t="s">
        <v>1758</v>
      </c>
      <c r="B332" t="s">
        <v>273</v>
      </c>
      <c r="C332" t="s">
        <v>584</v>
      </c>
      <c r="D332" t="s">
        <v>87</v>
      </c>
      <c r="E332" t="s">
        <v>1</v>
      </c>
      <c r="F332" t="s">
        <v>1605</v>
      </c>
      <c r="G332" t="s">
        <v>1232</v>
      </c>
      <c r="H332">
        <v>1</v>
      </c>
    </row>
    <row r="333" spans="1:8" x14ac:dyDescent="0.25">
      <c r="A333" t="s">
        <v>1759</v>
      </c>
      <c r="B333" t="s">
        <v>273</v>
      </c>
      <c r="C333" t="s">
        <v>611</v>
      </c>
      <c r="D333" t="s">
        <v>87</v>
      </c>
      <c r="E333" t="s">
        <v>1</v>
      </c>
      <c r="F333" t="s">
        <v>1605</v>
      </c>
      <c r="G333" t="s">
        <v>1232</v>
      </c>
      <c r="H333">
        <v>1</v>
      </c>
    </row>
    <row r="334" spans="1:8" x14ac:dyDescent="0.25">
      <c r="A334" t="s">
        <v>1760</v>
      </c>
      <c r="B334" t="s">
        <v>273</v>
      </c>
      <c r="C334" t="s">
        <v>628</v>
      </c>
      <c r="D334" t="s">
        <v>87</v>
      </c>
      <c r="E334" t="s">
        <v>1</v>
      </c>
      <c r="F334" t="s">
        <v>1605</v>
      </c>
      <c r="G334" t="s">
        <v>1232</v>
      </c>
      <c r="H334">
        <v>1</v>
      </c>
    </row>
    <row r="335" spans="1:8" x14ac:dyDescent="0.25">
      <c r="A335" t="s">
        <v>1761</v>
      </c>
      <c r="B335" t="s">
        <v>273</v>
      </c>
      <c r="C335" t="s">
        <v>637</v>
      </c>
      <c r="D335" t="s">
        <v>87</v>
      </c>
      <c r="E335" t="s">
        <v>1</v>
      </c>
      <c r="F335" t="s">
        <v>1605</v>
      </c>
      <c r="G335" t="s">
        <v>1232</v>
      </c>
      <c r="H335">
        <v>1</v>
      </c>
    </row>
    <row r="336" spans="1:8" x14ac:dyDescent="0.25">
      <c r="A336" t="s">
        <v>1762</v>
      </c>
      <c r="B336" t="s">
        <v>273</v>
      </c>
      <c r="C336" t="s">
        <v>656</v>
      </c>
      <c r="D336" t="s">
        <v>87</v>
      </c>
      <c r="E336" t="s">
        <v>1</v>
      </c>
      <c r="F336" t="s">
        <v>1605</v>
      </c>
      <c r="G336" t="s">
        <v>1232</v>
      </c>
      <c r="H336">
        <v>1</v>
      </c>
    </row>
    <row r="337" spans="1:8" x14ac:dyDescent="0.25">
      <c r="A337" t="s">
        <v>1763</v>
      </c>
      <c r="B337" t="s">
        <v>282</v>
      </c>
      <c r="C337" t="s">
        <v>531</v>
      </c>
      <c r="D337" t="s">
        <v>82</v>
      </c>
      <c r="E337" t="s">
        <v>1</v>
      </c>
      <c r="F337" t="s">
        <v>1764</v>
      </c>
      <c r="G337" t="s">
        <v>1232</v>
      </c>
      <c r="H337">
        <v>1</v>
      </c>
    </row>
    <row r="338" spans="1:8" x14ac:dyDescent="0.25">
      <c r="A338" t="s">
        <v>1765</v>
      </c>
      <c r="B338" t="s">
        <v>282</v>
      </c>
      <c r="C338" t="s">
        <v>549</v>
      </c>
      <c r="D338" t="s">
        <v>82</v>
      </c>
      <c r="E338" t="s">
        <v>1</v>
      </c>
      <c r="F338" t="s">
        <v>1596</v>
      </c>
      <c r="G338" t="s">
        <v>1232</v>
      </c>
      <c r="H338">
        <v>1</v>
      </c>
    </row>
    <row r="339" spans="1:8" x14ac:dyDescent="0.25">
      <c r="A339" t="s">
        <v>1766</v>
      </c>
      <c r="B339" t="s">
        <v>282</v>
      </c>
      <c r="C339" t="s">
        <v>646</v>
      </c>
      <c r="D339" t="s">
        <v>82</v>
      </c>
      <c r="E339" t="s">
        <v>1</v>
      </c>
      <c r="F339" t="s">
        <v>1661</v>
      </c>
      <c r="G339" t="s">
        <v>1232</v>
      </c>
      <c r="H339">
        <v>1</v>
      </c>
    </row>
    <row r="340" spans="1:8" x14ac:dyDescent="0.25">
      <c r="A340" t="s">
        <v>1767</v>
      </c>
      <c r="B340" t="s">
        <v>291</v>
      </c>
      <c r="C340" t="s">
        <v>442</v>
      </c>
      <c r="D340" t="s">
        <v>82</v>
      </c>
      <c r="E340" t="s">
        <v>1</v>
      </c>
      <c r="F340" t="s">
        <v>1537</v>
      </c>
      <c r="G340" t="s">
        <v>1232</v>
      </c>
      <c r="H340">
        <v>1</v>
      </c>
    </row>
    <row r="341" spans="1:8" x14ac:dyDescent="0.25">
      <c r="A341" t="s">
        <v>1768</v>
      </c>
      <c r="B341" t="s">
        <v>291</v>
      </c>
      <c r="C341" t="s">
        <v>451</v>
      </c>
      <c r="D341" t="s">
        <v>82</v>
      </c>
      <c r="E341" t="s">
        <v>1</v>
      </c>
      <c r="F341" t="s">
        <v>1574</v>
      </c>
      <c r="G341" t="s">
        <v>1232</v>
      </c>
      <c r="H341">
        <v>1</v>
      </c>
    </row>
    <row r="342" spans="1:8" x14ac:dyDescent="0.25">
      <c r="A342" t="s">
        <v>1769</v>
      </c>
      <c r="B342" t="s">
        <v>291</v>
      </c>
      <c r="C342" t="s">
        <v>540</v>
      </c>
      <c r="D342" t="s">
        <v>82</v>
      </c>
      <c r="E342" t="s">
        <v>1</v>
      </c>
      <c r="F342" t="s">
        <v>1770</v>
      </c>
      <c r="G342" t="s">
        <v>1223</v>
      </c>
      <c r="H342">
        <v>2</v>
      </c>
    </row>
    <row r="343" spans="1:8" x14ac:dyDescent="0.25">
      <c r="A343" t="s">
        <v>1771</v>
      </c>
      <c r="B343" t="s">
        <v>291</v>
      </c>
      <c r="C343" t="s">
        <v>576</v>
      </c>
      <c r="D343" t="s">
        <v>87</v>
      </c>
      <c r="E343" t="s">
        <v>1</v>
      </c>
      <c r="F343" t="s">
        <v>1605</v>
      </c>
      <c r="G343" t="s">
        <v>1232</v>
      </c>
      <c r="H343">
        <v>1</v>
      </c>
    </row>
    <row r="344" spans="1:8" x14ac:dyDescent="0.25">
      <c r="A344" t="s">
        <v>1772</v>
      </c>
      <c r="B344" t="s">
        <v>291</v>
      </c>
      <c r="C344" t="s">
        <v>584</v>
      </c>
      <c r="D344" t="s">
        <v>87</v>
      </c>
      <c r="E344" t="s">
        <v>1</v>
      </c>
      <c r="F344" t="s">
        <v>1599</v>
      </c>
      <c r="G344" t="s">
        <v>1232</v>
      </c>
      <c r="H344">
        <v>1</v>
      </c>
    </row>
    <row r="345" spans="1:8" x14ac:dyDescent="0.25">
      <c r="A345" t="s">
        <v>1773</v>
      </c>
      <c r="B345" t="s">
        <v>291</v>
      </c>
      <c r="C345" t="s">
        <v>593</v>
      </c>
      <c r="D345" t="s">
        <v>87</v>
      </c>
      <c r="E345" t="s">
        <v>1</v>
      </c>
      <c r="F345" t="s">
        <v>1613</v>
      </c>
      <c r="G345" t="s">
        <v>1232</v>
      </c>
      <c r="H345">
        <v>1</v>
      </c>
    </row>
    <row r="346" spans="1:8" x14ac:dyDescent="0.25">
      <c r="A346" t="s">
        <v>1774</v>
      </c>
      <c r="B346" t="s">
        <v>291</v>
      </c>
      <c r="C346" t="s">
        <v>602</v>
      </c>
      <c r="D346" t="s">
        <v>87</v>
      </c>
      <c r="E346" t="s">
        <v>1</v>
      </c>
      <c r="F346" t="s">
        <v>1613</v>
      </c>
      <c r="G346" t="s">
        <v>1232</v>
      </c>
      <c r="H346">
        <v>1</v>
      </c>
    </row>
    <row r="347" spans="1:8" x14ac:dyDescent="0.25">
      <c r="A347" t="s">
        <v>1775</v>
      </c>
      <c r="B347" t="s">
        <v>291</v>
      </c>
      <c r="C347" t="s">
        <v>611</v>
      </c>
      <c r="D347" t="s">
        <v>87</v>
      </c>
      <c r="E347" t="s">
        <v>1</v>
      </c>
      <c r="F347" t="s">
        <v>1605</v>
      </c>
      <c r="G347" t="s">
        <v>1232</v>
      </c>
      <c r="H347">
        <v>1</v>
      </c>
    </row>
    <row r="348" spans="1:8" x14ac:dyDescent="0.25">
      <c r="A348" t="s">
        <v>1776</v>
      </c>
      <c r="B348" t="s">
        <v>291</v>
      </c>
      <c r="C348" t="s">
        <v>620</v>
      </c>
      <c r="D348" t="s">
        <v>87</v>
      </c>
      <c r="E348" t="s">
        <v>1</v>
      </c>
      <c r="F348" t="s">
        <v>1605</v>
      </c>
      <c r="G348" t="s">
        <v>1232</v>
      </c>
      <c r="H348">
        <v>1</v>
      </c>
    </row>
    <row r="349" spans="1:8" x14ac:dyDescent="0.25">
      <c r="A349" t="s">
        <v>1777</v>
      </c>
      <c r="B349" t="s">
        <v>291</v>
      </c>
      <c r="C349" t="s">
        <v>628</v>
      </c>
      <c r="D349" t="s">
        <v>87</v>
      </c>
      <c r="E349" t="s">
        <v>1</v>
      </c>
      <c r="F349" t="s">
        <v>1605</v>
      </c>
      <c r="G349" t="s">
        <v>1232</v>
      </c>
      <c r="H349">
        <v>1</v>
      </c>
    </row>
    <row r="350" spans="1:8" x14ac:dyDescent="0.25">
      <c r="A350" t="s">
        <v>1778</v>
      </c>
      <c r="B350" t="s">
        <v>291</v>
      </c>
      <c r="C350" t="s">
        <v>637</v>
      </c>
      <c r="D350" t="s">
        <v>87</v>
      </c>
      <c r="E350" t="s">
        <v>1</v>
      </c>
      <c r="F350" t="s">
        <v>1599</v>
      </c>
      <c r="G350" t="s">
        <v>1232</v>
      </c>
      <c r="H350">
        <v>1</v>
      </c>
    </row>
    <row r="351" spans="1:8" x14ac:dyDescent="0.25">
      <c r="A351" t="s">
        <v>1779</v>
      </c>
      <c r="B351" t="s">
        <v>291</v>
      </c>
      <c r="C351" t="s">
        <v>646</v>
      </c>
      <c r="D351" t="s">
        <v>87</v>
      </c>
      <c r="E351" t="s">
        <v>1</v>
      </c>
      <c r="F351" t="s">
        <v>1605</v>
      </c>
      <c r="G351" t="s">
        <v>1232</v>
      </c>
      <c r="H351">
        <v>1</v>
      </c>
    </row>
    <row r="352" spans="1:8" x14ac:dyDescent="0.25">
      <c r="A352" t="s">
        <v>1780</v>
      </c>
      <c r="B352" t="s">
        <v>291</v>
      </c>
      <c r="C352" t="s">
        <v>656</v>
      </c>
      <c r="D352" t="s">
        <v>87</v>
      </c>
      <c r="E352" t="s">
        <v>1</v>
      </c>
      <c r="F352" t="s">
        <v>1605</v>
      </c>
      <c r="G352" t="s">
        <v>1232</v>
      </c>
      <c r="H352">
        <v>1</v>
      </c>
    </row>
    <row r="353" spans="1:8" x14ac:dyDescent="0.25">
      <c r="A353" t="s">
        <v>1781</v>
      </c>
      <c r="B353" t="s">
        <v>301</v>
      </c>
      <c r="C353" t="s">
        <v>319</v>
      </c>
      <c r="D353" t="s">
        <v>82</v>
      </c>
      <c r="E353" t="s">
        <v>1</v>
      </c>
      <c r="F353" t="s">
        <v>1678</v>
      </c>
      <c r="G353" t="s">
        <v>1223</v>
      </c>
      <c r="H353">
        <v>2</v>
      </c>
    </row>
    <row r="354" spans="1:8" x14ac:dyDescent="0.25">
      <c r="A354" t="s">
        <v>1782</v>
      </c>
      <c r="B354" t="s">
        <v>301</v>
      </c>
      <c r="C354" t="s">
        <v>328</v>
      </c>
      <c r="D354" t="s">
        <v>82</v>
      </c>
      <c r="E354" t="s">
        <v>1</v>
      </c>
      <c r="F354" t="s">
        <v>1589</v>
      </c>
      <c r="G354" t="s">
        <v>1232</v>
      </c>
      <c r="H354">
        <v>1</v>
      </c>
    </row>
    <row r="355" spans="1:8" x14ac:dyDescent="0.25">
      <c r="A355" t="s">
        <v>1783</v>
      </c>
      <c r="B355" t="s">
        <v>301</v>
      </c>
      <c r="C355" t="s">
        <v>337</v>
      </c>
      <c r="D355" t="s">
        <v>82</v>
      </c>
      <c r="E355" t="s">
        <v>1</v>
      </c>
      <c r="F355" t="s">
        <v>1725</v>
      </c>
      <c r="G355" t="s">
        <v>1232</v>
      </c>
      <c r="H355">
        <v>1</v>
      </c>
    </row>
    <row r="356" spans="1:8" x14ac:dyDescent="0.25">
      <c r="A356" t="s">
        <v>1784</v>
      </c>
      <c r="B356" t="s">
        <v>301</v>
      </c>
      <c r="C356" t="s">
        <v>355</v>
      </c>
      <c r="D356" t="s">
        <v>87</v>
      </c>
      <c r="E356" t="s">
        <v>1</v>
      </c>
      <c r="F356" t="s">
        <v>1545</v>
      </c>
      <c r="G356" t="s">
        <v>1232</v>
      </c>
      <c r="H356">
        <v>1</v>
      </c>
    </row>
    <row r="357" spans="1:8" x14ac:dyDescent="0.25">
      <c r="A357" t="s">
        <v>1785</v>
      </c>
      <c r="B357" t="s">
        <v>301</v>
      </c>
      <c r="C357" t="s">
        <v>540</v>
      </c>
      <c r="D357" t="s">
        <v>87</v>
      </c>
      <c r="E357" t="s">
        <v>1</v>
      </c>
      <c r="F357" t="s">
        <v>1545</v>
      </c>
      <c r="G357" t="s">
        <v>1232</v>
      </c>
      <c r="H357">
        <v>1</v>
      </c>
    </row>
    <row r="358" spans="1:8" x14ac:dyDescent="0.25">
      <c r="A358" t="s">
        <v>1786</v>
      </c>
      <c r="B358" t="s">
        <v>301</v>
      </c>
      <c r="C358" t="s">
        <v>549</v>
      </c>
      <c r="D358" t="s">
        <v>82</v>
      </c>
      <c r="E358" t="s">
        <v>1</v>
      </c>
      <c r="F358" t="s">
        <v>1661</v>
      </c>
      <c r="G358" t="s">
        <v>1232</v>
      </c>
      <c r="H358">
        <v>1</v>
      </c>
    </row>
    <row r="359" spans="1:8" x14ac:dyDescent="0.25">
      <c r="A359" t="s">
        <v>1787</v>
      </c>
      <c r="B359" t="s">
        <v>301</v>
      </c>
      <c r="C359" t="s">
        <v>593</v>
      </c>
      <c r="D359" t="s">
        <v>82</v>
      </c>
      <c r="E359" t="s">
        <v>1</v>
      </c>
      <c r="F359" t="s">
        <v>1661</v>
      </c>
      <c r="G359" t="s">
        <v>1232</v>
      </c>
      <c r="H359">
        <v>1</v>
      </c>
    </row>
    <row r="360" spans="1:8" x14ac:dyDescent="0.25">
      <c r="A360" t="s">
        <v>1788</v>
      </c>
      <c r="B360" t="s">
        <v>301</v>
      </c>
      <c r="C360" t="s">
        <v>602</v>
      </c>
      <c r="D360" t="s">
        <v>82</v>
      </c>
      <c r="E360" t="s">
        <v>1</v>
      </c>
      <c r="F360" t="s">
        <v>1686</v>
      </c>
      <c r="G360" t="s">
        <v>1223</v>
      </c>
      <c r="H360">
        <v>2</v>
      </c>
    </row>
    <row r="361" spans="1:8" x14ac:dyDescent="0.25">
      <c r="A361" t="s">
        <v>1789</v>
      </c>
      <c r="B361" t="s">
        <v>301</v>
      </c>
      <c r="C361" t="s">
        <v>646</v>
      </c>
      <c r="D361" t="s">
        <v>82</v>
      </c>
      <c r="E361" t="s">
        <v>1</v>
      </c>
      <c r="F361" t="s">
        <v>1587</v>
      </c>
      <c r="G361" t="s">
        <v>1232</v>
      </c>
      <c r="H361">
        <v>1</v>
      </c>
    </row>
    <row r="362" spans="1:8" x14ac:dyDescent="0.25">
      <c r="A362" t="s">
        <v>1790</v>
      </c>
      <c r="B362" t="s">
        <v>310</v>
      </c>
      <c r="C362" t="s">
        <v>522</v>
      </c>
      <c r="D362" t="s">
        <v>82</v>
      </c>
      <c r="E362" t="s">
        <v>1</v>
      </c>
      <c r="F362" t="s">
        <v>1686</v>
      </c>
      <c r="G362" t="s">
        <v>1223</v>
      </c>
      <c r="H362">
        <v>2</v>
      </c>
    </row>
    <row r="363" spans="1:8" x14ac:dyDescent="0.25">
      <c r="A363" t="s">
        <v>1791</v>
      </c>
      <c r="B363" t="s">
        <v>319</v>
      </c>
      <c r="C363" t="s">
        <v>337</v>
      </c>
      <c r="D363" t="s">
        <v>82</v>
      </c>
      <c r="E363" t="s">
        <v>1</v>
      </c>
      <c r="F363" t="s">
        <v>1673</v>
      </c>
      <c r="G363" t="s">
        <v>1232</v>
      </c>
      <c r="H363">
        <v>1</v>
      </c>
    </row>
    <row r="364" spans="1:8" x14ac:dyDescent="0.25">
      <c r="A364" t="s">
        <v>1792</v>
      </c>
      <c r="B364" t="s">
        <v>319</v>
      </c>
      <c r="C364" t="s">
        <v>355</v>
      </c>
      <c r="D364" t="s">
        <v>87</v>
      </c>
      <c r="E364" t="s">
        <v>1</v>
      </c>
      <c r="F364" t="s">
        <v>1545</v>
      </c>
      <c r="G364" t="s">
        <v>1232</v>
      </c>
      <c r="H364">
        <v>1</v>
      </c>
    </row>
    <row r="365" spans="1:8" x14ac:dyDescent="0.25">
      <c r="A365" t="s">
        <v>1793</v>
      </c>
      <c r="B365" t="s">
        <v>319</v>
      </c>
      <c r="C365" t="s">
        <v>495</v>
      </c>
      <c r="D365" t="s">
        <v>87</v>
      </c>
      <c r="E365" t="s">
        <v>1</v>
      </c>
      <c r="F365" t="s">
        <v>1545</v>
      </c>
      <c r="G365" t="s">
        <v>1232</v>
      </c>
      <c r="H365">
        <v>1</v>
      </c>
    </row>
    <row r="366" spans="1:8" x14ac:dyDescent="0.25">
      <c r="A366" t="s">
        <v>1794</v>
      </c>
      <c r="B366" t="s">
        <v>319</v>
      </c>
      <c r="C366" t="s">
        <v>540</v>
      </c>
      <c r="D366" t="s">
        <v>87</v>
      </c>
      <c r="E366" t="s">
        <v>1</v>
      </c>
      <c r="F366" t="s">
        <v>1545</v>
      </c>
      <c r="G366" t="s">
        <v>1232</v>
      </c>
      <c r="H366">
        <v>1</v>
      </c>
    </row>
    <row r="367" spans="1:8" x14ac:dyDescent="0.25">
      <c r="A367" t="s">
        <v>1795</v>
      </c>
      <c r="B367" t="s">
        <v>319</v>
      </c>
      <c r="C367" t="s">
        <v>549</v>
      </c>
      <c r="D367" t="s">
        <v>82</v>
      </c>
      <c r="E367" t="s">
        <v>1</v>
      </c>
      <c r="F367" t="s">
        <v>1596</v>
      </c>
      <c r="G367" t="s">
        <v>1232</v>
      </c>
      <c r="H367">
        <v>1</v>
      </c>
    </row>
    <row r="368" spans="1:8" x14ac:dyDescent="0.25">
      <c r="A368" t="s">
        <v>1796</v>
      </c>
      <c r="B368" t="s">
        <v>319</v>
      </c>
      <c r="C368" t="s">
        <v>593</v>
      </c>
      <c r="D368" t="s">
        <v>82</v>
      </c>
      <c r="E368" t="s">
        <v>1</v>
      </c>
      <c r="F368" t="s">
        <v>1626</v>
      </c>
      <c r="G368" t="s">
        <v>1232</v>
      </c>
      <c r="H368">
        <v>1</v>
      </c>
    </row>
    <row r="369" spans="1:8" x14ac:dyDescent="0.25">
      <c r="A369" t="s">
        <v>1797</v>
      </c>
      <c r="B369" t="s">
        <v>319</v>
      </c>
      <c r="C369" t="s">
        <v>602</v>
      </c>
      <c r="D369" t="s">
        <v>82</v>
      </c>
      <c r="E369" t="s">
        <v>1</v>
      </c>
      <c r="F369" t="s">
        <v>1686</v>
      </c>
      <c r="G369" t="s">
        <v>1223</v>
      </c>
      <c r="H369">
        <v>2</v>
      </c>
    </row>
    <row r="370" spans="1:8" x14ac:dyDescent="0.25">
      <c r="A370" t="s">
        <v>1798</v>
      </c>
      <c r="B370" t="s">
        <v>319</v>
      </c>
      <c r="C370" t="s">
        <v>646</v>
      </c>
      <c r="D370" t="s">
        <v>82</v>
      </c>
      <c r="E370" t="s">
        <v>1</v>
      </c>
      <c r="F370" t="s">
        <v>1659</v>
      </c>
      <c r="G370" t="s">
        <v>1232</v>
      </c>
      <c r="H370">
        <v>1</v>
      </c>
    </row>
    <row r="371" spans="1:8" x14ac:dyDescent="0.25">
      <c r="A371" t="s">
        <v>1799</v>
      </c>
      <c r="B371" t="s">
        <v>328</v>
      </c>
      <c r="C371" t="s">
        <v>593</v>
      </c>
      <c r="D371" t="s">
        <v>82</v>
      </c>
      <c r="E371" t="s">
        <v>1</v>
      </c>
      <c r="F371" t="s">
        <v>1555</v>
      </c>
      <c r="G371" t="s">
        <v>1232</v>
      </c>
      <c r="H371">
        <v>1</v>
      </c>
    </row>
    <row r="372" spans="1:8" x14ac:dyDescent="0.25">
      <c r="A372" t="s">
        <v>1800</v>
      </c>
      <c r="B372" t="s">
        <v>328</v>
      </c>
      <c r="C372" t="s">
        <v>602</v>
      </c>
      <c r="D372" t="s">
        <v>82</v>
      </c>
      <c r="E372" t="s">
        <v>1</v>
      </c>
      <c r="F372" t="s">
        <v>1801</v>
      </c>
      <c r="G372" t="s">
        <v>1232</v>
      </c>
      <c r="H372">
        <v>1</v>
      </c>
    </row>
    <row r="373" spans="1:8" x14ac:dyDescent="0.25">
      <c r="A373" t="s">
        <v>1802</v>
      </c>
      <c r="B373" t="s">
        <v>337</v>
      </c>
      <c r="C373" t="s">
        <v>593</v>
      </c>
      <c r="D373" t="s">
        <v>82</v>
      </c>
      <c r="E373" t="s">
        <v>1</v>
      </c>
      <c r="F373" t="s">
        <v>1587</v>
      </c>
      <c r="G373" t="s">
        <v>1232</v>
      </c>
      <c r="H373">
        <v>1</v>
      </c>
    </row>
    <row r="374" spans="1:8" x14ac:dyDescent="0.25">
      <c r="A374" t="s">
        <v>1803</v>
      </c>
      <c r="B374" t="s">
        <v>337</v>
      </c>
      <c r="C374" t="s">
        <v>602</v>
      </c>
      <c r="D374" t="s">
        <v>82</v>
      </c>
      <c r="E374" t="s">
        <v>1</v>
      </c>
      <c r="F374" t="s">
        <v>1555</v>
      </c>
      <c r="G374" t="s">
        <v>1232</v>
      </c>
      <c r="H374">
        <v>1</v>
      </c>
    </row>
    <row r="375" spans="1:8" x14ac:dyDescent="0.25">
      <c r="A375" t="s">
        <v>1804</v>
      </c>
      <c r="B375" t="s">
        <v>346</v>
      </c>
      <c r="C375" t="s">
        <v>364</v>
      </c>
      <c r="D375" t="s">
        <v>87</v>
      </c>
      <c r="E375" t="s">
        <v>1</v>
      </c>
      <c r="F375" t="s">
        <v>1805</v>
      </c>
      <c r="G375" t="s">
        <v>1232</v>
      </c>
      <c r="H375">
        <v>1</v>
      </c>
    </row>
    <row r="376" spans="1:8" x14ac:dyDescent="0.25">
      <c r="A376" t="s">
        <v>1806</v>
      </c>
      <c r="B376" t="s">
        <v>346</v>
      </c>
      <c r="C376" t="s">
        <v>417</v>
      </c>
      <c r="D376" t="s">
        <v>87</v>
      </c>
      <c r="E376" t="s">
        <v>1</v>
      </c>
      <c r="F376" t="s">
        <v>1805</v>
      </c>
      <c r="G376" t="s">
        <v>1232</v>
      </c>
      <c r="H376">
        <v>1</v>
      </c>
    </row>
    <row r="377" spans="1:8" x14ac:dyDescent="0.25">
      <c r="A377" t="s">
        <v>1807</v>
      </c>
      <c r="B377" t="s">
        <v>346</v>
      </c>
      <c r="C377" t="s">
        <v>425</v>
      </c>
      <c r="D377" t="s">
        <v>82</v>
      </c>
      <c r="E377" t="s">
        <v>1</v>
      </c>
      <c r="F377" t="s">
        <v>1591</v>
      </c>
      <c r="G377" t="s">
        <v>1223</v>
      </c>
      <c r="H377">
        <v>2</v>
      </c>
    </row>
    <row r="378" spans="1:8" x14ac:dyDescent="0.25">
      <c r="A378" t="s">
        <v>1808</v>
      </c>
      <c r="B378" t="s">
        <v>346</v>
      </c>
      <c r="C378" t="s">
        <v>486</v>
      </c>
      <c r="D378" t="s">
        <v>82</v>
      </c>
      <c r="E378" t="s">
        <v>1</v>
      </c>
      <c r="F378" t="s">
        <v>1601</v>
      </c>
      <c r="G378" t="s">
        <v>1232</v>
      </c>
      <c r="H378">
        <v>1</v>
      </c>
    </row>
    <row r="379" spans="1:8" x14ac:dyDescent="0.25">
      <c r="A379" t="s">
        <v>1809</v>
      </c>
      <c r="B379" t="s">
        <v>346</v>
      </c>
      <c r="C379" t="s">
        <v>504</v>
      </c>
      <c r="D379" t="s">
        <v>82</v>
      </c>
      <c r="E379" t="s">
        <v>1</v>
      </c>
      <c r="F379" t="s">
        <v>1576</v>
      </c>
      <c r="G379" t="s">
        <v>1223</v>
      </c>
      <c r="H379">
        <v>2</v>
      </c>
    </row>
    <row r="380" spans="1:8" x14ac:dyDescent="0.25">
      <c r="A380" t="s">
        <v>1810</v>
      </c>
      <c r="B380" t="s">
        <v>355</v>
      </c>
      <c r="C380" t="s">
        <v>425</v>
      </c>
      <c r="D380" t="s">
        <v>87</v>
      </c>
      <c r="E380" t="s">
        <v>1</v>
      </c>
      <c r="F380" t="s">
        <v>1805</v>
      </c>
      <c r="G380" t="s">
        <v>1232</v>
      </c>
      <c r="H380">
        <v>1</v>
      </c>
    </row>
    <row r="381" spans="1:8" x14ac:dyDescent="0.25">
      <c r="A381" t="s">
        <v>1811</v>
      </c>
      <c r="B381" t="s">
        <v>355</v>
      </c>
      <c r="C381" t="s">
        <v>495</v>
      </c>
      <c r="D381" t="s">
        <v>87</v>
      </c>
      <c r="E381" t="s">
        <v>1</v>
      </c>
      <c r="F381" t="s">
        <v>1545</v>
      </c>
      <c r="G381" t="s">
        <v>1232</v>
      </c>
      <c r="H381">
        <v>1</v>
      </c>
    </row>
    <row r="382" spans="1:8" x14ac:dyDescent="0.25">
      <c r="A382" t="s">
        <v>1812</v>
      </c>
      <c r="B382" t="s">
        <v>355</v>
      </c>
      <c r="C382" t="s">
        <v>540</v>
      </c>
      <c r="D382" t="s">
        <v>87</v>
      </c>
      <c r="E382" t="s">
        <v>1</v>
      </c>
      <c r="F382" t="s">
        <v>1545</v>
      </c>
      <c r="G382" t="s">
        <v>1232</v>
      </c>
      <c r="H382">
        <v>1</v>
      </c>
    </row>
    <row r="383" spans="1:8" x14ac:dyDescent="0.25">
      <c r="A383" t="s">
        <v>1813</v>
      </c>
      <c r="B383" t="s">
        <v>355</v>
      </c>
      <c r="C383" t="s">
        <v>549</v>
      </c>
      <c r="D383" t="s">
        <v>82</v>
      </c>
      <c r="E383" t="s">
        <v>1</v>
      </c>
      <c r="F383" t="s">
        <v>1566</v>
      </c>
      <c r="G383" t="s">
        <v>1232</v>
      </c>
      <c r="H383">
        <v>1</v>
      </c>
    </row>
    <row r="384" spans="1:8" x14ac:dyDescent="0.25">
      <c r="A384" t="s">
        <v>1814</v>
      </c>
      <c r="B384" t="s">
        <v>355</v>
      </c>
      <c r="C384" t="s">
        <v>584</v>
      </c>
      <c r="D384" t="s">
        <v>82</v>
      </c>
      <c r="E384" t="s">
        <v>1</v>
      </c>
      <c r="F384" t="s">
        <v>1764</v>
      </c>
      <c r="G384" t="s">
        <v>1232</v>
      </c>
      <c r="H384">
        <v>1</v>
      </c>
    </row>
    <row r="385" spans="1:8" x14ac:dyDescent="0.25">
      <c r="A385" t="s">
        <v>1815</v>
      </c>
      <c r="B385" t="s">
        <v>355</v>
      </c>
      <c r="C385" t="s">
        <v>646</v>
      </c>
      <c r="D385" t="s">
        <v>82</v>
      </c>
      <c r="E385" t="s">
        <v>1</v>
      </c>
      <c r="F385" t="s">
        <v>1626</v>
      </c>
      <c r="G385" t="s">
        <v>1232</v>
      </c>
      <c r="H385">
        <v>1</v>
      </c>
    </row>
    <row r="386" spans="1:8" x14ac:dyDescent="0.25">
      <c r="A386" t="s">
        <v>1816</v>
      </c>
      <c r="B386" t="s">
        <v>364</v>
      </c>
      <c r="C386" t="s">
        <v>425</v>
      </c>
      <c r="D386" t="s">
        <v>87</v>
      </c>
      <c r="E386" t="s">
        <v>1</v>
      </c>
      <c r="F386" t="s">
        <v>1805</v>
      </c>
      <c r="G386" t="s">
        <v>1232</v>
      </c>
      <c r="H386">
        <v>1</v>
      </c>
    </row>
    <row r="387" spans="1:8" x14ac:dyDescent="0.25">
      <c r="A387" t="s">
        <v>1817</v>
      </c>
      <c r="B387" t="s">
        <v>364</v>
      </c>
      <c r="C387" t="s">
        <v>549</v>
      </c>
      <c r="D387" t="s">
        <v>82</v>
      </c>
      <c r="E387" t="s">
        <v>1</v>
      </c>
      <c r="F387" t="s">
        <v>1626</v>
      </c>
      <c r="G387" t="s">
        <v>1232</v>
      </c>
      <c r="H387">
        <v>1</v>
      </c>
    </row>
    <row r="388" spans="1:8" x14ac:dyDescent="0.25">
      <c r="A388" t="s">
        <v>1818</v>
      </c>
      <c r="B388" t="s">
        <v>364</v>
      </c>
      <c r="C388" t="s">
        <v>584</v>
      </c>
      <c r="D388" t="s">
        <v>82</v>
      </c>
      <c r="E388" t="s">
        <v>1</v>
      </c>
      <c r="F388" t="s">
        <v>1666</v>
      </c>
      <c r="G388" t="s">
        <v>1232</v>
      </c>
      <c r="H388">
        <v>1</v>
      </c>
    </row>
    <row r="389" spans="1:8" x14ac:dyDescent="0.25">
      <c r="A389" t="s">
        <v>1819</v>
      </c>
      <c r="B389" t="s">
        <v>364</v>
      </c>
      <c r="C389" t="s">
        <v>646</v>
      </c>
      <c r="D389" t="s">
        <v>82</v>
      </c>
      <c r="E389" t="s">
        <v>1</v>
      </c>
      <c r="F389" t="s">
        <v>1537</v>
      </c>
      <c r="G389" t="s">
        <v>1232</v>
      </c>
      <c r="H389">
        <v>1</v>
      </c>
    </row>
    <row r="390" spans="1:8" x14ac:dyDescent="0.25">
      <c r="A390" t="s">
        <v>1820</v>
      </c>
      <c r="B390" t="s">
        <v>372</v>
      </c>
      <c r="C390" t="s">
        <v>425</v>
      </c>
      <c r="D390" t="s">
        <v>82</v>
      </c>
      <c r="E390" t="s">
        <v>1</v>
      </c>
      <c r="F390" t="s">
        <v>1633</v>
      </c>
      <c r="G390" t="s">
        <v>1223</v>
      </c>
      <c r="H390">
        <v>2</v>
      </c>
    </row>
    <row r="391" spans="1:8" x14ac:dyDescent="0.25">
      <c r="A391" t="s">
        <v>1821</v>
      </c>
      <c r="B391" t="s">
        <v>372</v>
      </c>
      <c r="C391" t="s">
        <v>486</v>
      </c>
      <c r="D391" t="s">
        <v>82</v>
      </c>
      <c r="E391" t="s">
        <v>1</v>
      </c>
      <c r="F391" t="s">
        <v>1725</v>
      </c>
      <c r="G391" t="s">
        <v>1232</v>
      </c>
      <c r="H391">
        <v>1</v>
      </c>
    </row>
    <row r="392" spans="1:8" x14ac:dyDescent="0.25">
      <c r="A392" t="s">
        <v>1822</v>
      </c>
      <c r="B392" t="s">
        <v>372</v>
      </c>
      <c r="C392" t="s">
        <v>504</v>
      </c>
      <c r="D392" t="s">
        <v>82</v>
      </c>
      <c r="E392" t="s">
        <v>1</v>
      </c>
      <c r="F392" t="s">
        <v>1823</v>
      </c>
      <c r="G392" t="s">
        <v>1223</v>
      </c>
      <c r="H392">
        <v>2</v>
      </c>
    </row>
    <row r="393" spans="1:8" x14ac:dyDescent="0.25">
      <c r="A393" t="s">
        <v>1824</v>
      </c>
      <c r="B393" t="s">
        <v>382</v>
      </c>
      <c r="C393" t="s">
        <v>391</v>
      </c>
      <c r="D393" t="s">
        <v>82</v>
      </c>
      <c r="E393" t="s">
        <v>1</v>
      </c>
      <c r="F393" t="s">
        <v>1637</v>
      </c>
      <c r="G393" t="s">
        <v>1223</v>
      </c>
      <c r="H393">
        <v>2</v>
      </c>
    </row>
    <row r="394" spans="1:8" x14ac:dyDescent="0.25">
      <c r="A394" t="s">
        <v>1825</v>
      </c>
      <c r="B394" t="s">
        <v>382</v>
      </c>
      <c r="C394" t="s">
        <v>400</v>
      </c>
      <c r="D394" t="s">
        <v>82</v>
      </c>
      <c r="E394" t="s">
        <v>1</v>
      </c>
      <c r="F394" t="s">
        <v>1601</v>
      </c>
      <c r="G394" t="s">
        <v>1223</v>
      </c>
      <c r="H394">
        <v>2</v>
      </c>
    </row>
    <row r="395" spans="1:8" x14ac:dyDescent="0.25">
      <c r="A395" t="s">
        <v>1826</v>
      </c>
      <c r="B395" t="s">
        <v>382</v>
      </c>
      <c r="C395" t="s">
        <v>409</v>
      </c>
      <c r="D395" t="s">
        <v>82</v>
      </c>
      <c r="E395" t="s">
        <v>1</v>
      </c>
      <c r="F395" t="s">
        <v>1591</v>
      </c>
      <c r="G395" t="s">
        <v>1223</v>
      </c>
      <c r="H395">
        <v>2</v>
      </c>
    </row>
    <row r="396" spans="1:8" x14ac:dyDescent="0.25">
      <c r="A396" t="s">
        <v>1827</v>
      </c>
      <c r="B396" t="s">
        <v>382</v>
      </c>
      <c r="C396" t="s">
        <v>417</v>
      </c>
      <c r="D396" t="s">
        <v>82</v>
      </c>
      <c r="E396" t="s">
        <v>1</v>
      </c>
      <c r="F396" t="s">
        <v>1628</v>
      </c>
      <c r="G396" t="s">
        <v>1232</v>
      </c>
      <c r="H396">
        <v>1</v>
      </c>
    </row>
    <row r="397" spans="1:8" x14ac:dyDescent="0.25">
      <c r="A397" t="s">
        <v>1828</v>
      </c>
      <c r="B397" t="s">
        <v>382</v>
      </c>
      <c r="C397" t="s">
        <v>434</v>
      </c>
      <c r="D397" t="s">
        <v>82</v>
      </c>
      <c r="E397" t="s">
        <v>1</v>
      </c>
      <c r="F397" t="s">
        <v>1764</v>
      </c>
      <c r="G397" t="s">
        <v>1232</v>
      </c>
      <c r="H397">
        <v>1</v>
      </c>
    </row>
    <row r="398" spans="1:8" x14ac:dyDescent="0.25">
      <c r="A398" t="s">
        <v>1829</v>
      </c>
      <c r="B398" t="s">
        <v>382</v>
      </c>
      <c r="C398" t="s">
        <v>620</v>
      </c>
      <c r="D398" t="s">
        <v>82</v>
      </c>
      <c r="E398" t="s">
        <v>1</v>
      </c>
      <c r="F398" t="s">
        <v>1566</v>
      </c>
      <c r="G398" t="s">
        <v>1232</v>
      </c>
      <c r="H398">
        <v>1</v>
      </c>
    </row>
    <row r="399" spans="1:8" x14ac:dyDescent="0.25">
      <c r="A399" t="s">
        <v>1830</v>
      </c>
      <c r="B399" t="s">
        <v>391</v>
      </c>
      <c r="C399" t="s">
        <v>417</v>
      </c>
      <c r="D399" t="s">
        <v>82</v>
      </c>
      <c r="E399" t="s">
        <v>1</v>
      </c>
      <c r="F399" t="s">
        <v>1574</v>
      </c>
      <c r="G399" t="s">
        <v>1232</v>
      </c>
      <c r="H399">
        <v>1</v>
      </c>
    </row>
    <row r="400" spans="1:8" x14ac:dyDescent="0.25">
      <c r="A400" t="s">
        <v>1831</v>
      </c>
      <c r="B400" t="s">
        <v>391</v>
      </c>
      <c r="C400" t="s">
        <v>620</v>
      </c>
      <c r="D400" t="s">
        <v>82</v>
      </c>
      <c r="E400" t="s">
        <v>1</v>
      </c>
      <c r="F400" t="s">
        <v>1725</v>
      </c>
      <c r="G400" t="s">
        <v>1232</v>
      </c>
      <c r="H400">
        <v>1</v>
      </c>
    </row>
    <row r="401" spans="1:8" x14ac:dyDescent="0.25">
      <c r="A401" t="s">
        <v>1832</v>
      </c>
      <c r="B401" t="s">
        <v>400</v>
      </c>
      <c r="C401" t="s">
        <v>409</v>
      </c>
      <c r="D401" t="s">
        <v>82</v>
      </c>
      <c r="E401" t="s">
        <v>1</v>
      </c>
      <c r="F401" t="s">
        <v>1578</v>
      </c>
      <c r="G401" t="s">
        <v>1232</v>
      </c>
      <c r="H401">
        <v>1</v>
      </c>
    </row>
    <row r="402" spans="1:8" x14ac:dyDescent="0.25">
      <c r="A402" t="s">
        <v>1833</v>
      </c>
      <c r="B402" t="s">
        <v>400</v>
      </c>
      <c r="C402" t="s">
        <v>417</v>
      </c>
      <c r="D402" t="s">
        <v>82</v>
      </c>
      <c r="E402" t="s">
        <v>1</v>
      </c>
      <c r="F402" t="s">
        <v>1666</v>
      </c>
      <c r="G402" t="s">
        <v>1232</v>
      </c>
      <c r="H402">
        <v>1</v>
      </c>
    </row>
    <row r="403" spans="1:8" x14ac:dyDescent="0.25">
      <c r="A403" t="s">
        <v>1834</v>
      </c>
      <c r="B403" t="s">
        <v>400</v>
      </c>
      <c r="C403" t="s">
        <v>434</v>
      </c>
      <c r="D403" t="s">
        <v>82</v>
      </c>
      <c r="E403" t="s">
        <v>1</v>
      </c>
      <c r="F403" t="s">
        <v>1835</v>
      </c>
      <c r="G403" t="s">
        <v>1223</v>
      </c>
      <c r="H403">
        <v>2</v>
      </c>
    </row>
    <row r="404" spans="1:8" x14ac:dyDescent="0.25">
      <c r="A404" t="s">
        <v>1836</v>
      </c>
      <c r="B404" t="s">
        <v>400</v>
      </c>
      <c r="C404" t="s">
        <v>611</v>
      </c>
      <c r="D404" t="s">
        <v>82</v>
      </c>
      <c r="E404" t="s">
        <v>1</v>
      </c>
      <c r="F404" t="s">
        <v>1555</v>
      </c>
      <c r="G404" t="s">
        <v>1232</v>
      </c>
      <c r="H404">
        <v>1</v>
      </c>
    </row>
    <row r="405" spans="1:8" x14ac:dyDescent="0.25">
      <c r="A405" t="s">
        <v>1837</v>
      </c>
      <c r="B405" t="s">
        <v>400</v>
      </c>
      <c r="C405" t="s">
        <v>620</v>
      </c>
      <c r="D405" t="s">
        <v>82</v>
      </c>
      <c r="E405" t="s">
        <v>1</v>
      </c>
      <c r="F405" t="s">
        <v>1583</v>
      </c>
      <c r="G405" t="s">
        <v>1232</v>
      </c>
      <c r="H405">
        <v>1</v>
      </c>
    </row>
    <row r="406" spans="1:8" x14ac:dyDescent="0.25">
      <c r="A406" t="s">
        <v>1838</v>
      </c>
      <c r="B406" t="s">
        <v>409</v>
      </c>
      <c r="C406" t="s">
        <v>417</v>
      </c>
      <c r="D406" t="s">
        <v>82</v>
      </c>
      <c r="E406" t="s">
        <v>1</v>
      </c>
      <c r="F406" t="s">
        <v>1549</v>
      </c>
      <c r="G406" t="s">
        <v>1232</v>
      </c>
      <c r="H406">
        <v>1</v>
      </c>
    </row>
    <row r="407" spans="1:8" x14ac:dyDescent="0.25">
      <c r="A407" t="s">
        <v>1839</v>
      </c>
      <c r="B407" t="s">
        <v>409</v>
      </c>
      <c r="C407" t="s">
        <v>620</v>
      </c>
      <c r="D407" t="s">
        <v>82</v>
      </c>
      <c r="E407" t="s">
        <v>1</v>
      </c>
      <c r="F407" t="s">
        <v>1626</v>
      </c>
      <c r="G407" t="s">
        <v>1232</v>
      </c>
      <c r="H407">
        <v>1</v>
      </c>
    </row>
    <row r="408" spans="1:8" x14ac:dyDescent="0.25">
      <c r="A408" t="s">
        <v>1840</v>
      </c>
      <c r="B408" t="s">
        <v>417</v>
      </c>
      <c r="C408" t="s">
        <v>425</v>
      </c>
      <c r="D408" t="s">
        <v>87</v>
      </c>
      <c r="E408" t="s">
        <v>1</v>
      </c>
      <c r="F408" t="s">
        <v>1805</v>
      </c>
      <c r="G408" t="s">
        <v>1232</v>
      </c>
      <c r="H408">
        <v>1</v>
      </c>
    </row>
    <row r="409" spans="1:8" x14ac:dyDescent="0.25">
      <c r="A409" t="s">
        <v>1841</v>
      </c>
      <c r="B409" t="s">
        <v>417</v>
      </c>
      <c r="C409" t="s">
        <v>434</v>
      </c>
      <c r="D409" t="s">
        <v>87</v>
      </c>
      <c r="E409" t="s">
        <v>1</v>
      </c>
      <c r="F409" t="s">
        <v>1842</v>
      </c>
      <c r="G409" t="s">
        <v>1232</v>
      </c>
      <c r="H409">
        <v>1</v>
      </c>
    </row>
    <row r="410" spans="1:8" x14ac:dyDescent="0.25">
      <c r="A410" t="s">
        <v>1843</v>
      </c>
      <c r="B410" t="s">
        <v>425</v>
      </c>
      <c r="C410" t="s">
        <v>486</v>
      </c>
      <c r="D410" t="s">
        <v>82</v>
      </c>
      <c r="E410" t="s">
        <v>1</v>
      </c>
      <c r="F410" t="s">
        <v>1569</v>
      </c>
      <c r="G410" t="s">
        <v>1232</v>
      </c>
      <c r="H410">
        <v>1</v>
      </c>
    </row>
    <row r="411" spans="1:8" x14ac:dyDescent="0.25">
      <c r="A411" t="s">
        <v>1844</v>
      </c>
      <c r="B411" t="s">
        <v>425</v>
      </c>
      <c r="C411" t="s">
        <v>504</v>
      </c>
      <c r="D411" t="s">
        <v>82</v>
      </c>
      <c r="E411" t="s">
        <v>1</v>
      </c>
      <c r="F411" t="s">
        <v>1641</v>
      </c>
      <c r="G411" t="s">
        <v>1223</v>
      </c>
      <c r="H411">
        <v>2</v>
      </c>
    </row>
    <row r="412" spans="1:8" x14ac:dyDescent="0.25">
      <c r="A412" t="s">
        <v>1845</v>
      </c>
      <c r="B412" t="s">
        <v>434</v>
      </c>
      <c r="C412" t="s">
        <v>611</v>
      </c>
      <c r="D412" t="s">
        <v>82</v>
      </c>
      <c r="E412" t="s">
        <v>1</v>
      </c>
      <c r="F412" t="s">
        <v>1569</v>
      </c>
      <c r="G412" t="s">
        <v>1232</v>
      </c>
      <c r="H412">
        <v>1</v>
      </c>
    </row>
    <row r="413" spans="1:8" x14ac:dyDescent="0.25">
      <c r="A413" t="s">
        <v>1846</v>
      </c>
      <c r="B413" t="s">
        <v>434</v>
      </c>
      <c r="C413" t="s">
        <v>620</v>
      </c>
      <c r="D413" t="s">
        <v>82</v>
      </c>
      <c r="E413" t="s">
        <v>1</v>
      </c>
      <c r="F413" t="s">
        <v>1847</v>
      </c>
      <c r="G413" t="s">
        <v>1232</v>
      </c>
      <c r="H413">
        <v>1</v>
      </c>
    </row>
    <row r="414" spans="1:8" x14ac:dyDescent="0.25">
      <c r="A414" t="s">
        <v>1848</v>
      </c>
      <c r="B414" t="s">
        <v>442</v>
      </c>
      <c r="C414" t="s">
        <v>549</v>
      </c>
      <c r="D414" t="s">
        <v>87</v>
      </c>
      <c r="E414" t="s">
        <v>1</v>
      </c>
      <c r="F414" t="s">
        <v>1849</v>
      </c>
      <c r="G414" t="s">
        <v>1232</v>
      </c>
      <c r="H414">
        <v>1</v>
      </c>
    </row>
    <row r="415" spans="1:8" x14ac:dyDescent="0.25">
      <c r="A415" t="s">
        <v>1850</v>
      </c>
      <c r="B415" t="s">
        <v>442</v>
      </c>
      <c r="C415" t="s">
        <v>593</v>
      </c>
      <c r="D415" t="s">
        <v>87</v>
      </c>
      <c r="E415" t="s">
        <v>1</v>
      </c>
      <c r="F415" t="s">
        <v>1849</v>
      </c>
      <c r="G415" t="s">
        <v>1232</v>
      </c>
      <c r="H415">
        <v>1</v>
      </c>
    </row>
    <row r="416" spans="1:8" x14ac:dyDescent="0.25">
      <c r="A416" t="s">
        <v>1851</v>
      </c>
      <c r="B416" t="s">
        <v>442</v>
      </c>
      <c r="C416" t="s">
        <v>646</v>
      </c>
      <c r="D416" t="s">
        <v>87</v>
      </c>
      <c r="E416" t="s">
        <v>1</v>
      </c>
      <c r="F416" t="s">
        <v>1849</v>
      </c>
      <c r="G416" t="s">
        <v>1232</v>
      </c>
      <c r="H416">
        <v>1</v>
      </c>
    </row>
    <row r="417" spans="1:8" x14ac:dyDescent="0.25">
      <c r="A417" t="s">
        <v>1852</v>
      </c>
      <c r="B417" t="s">
        <v>451</v>
      </c>
      <c r="C417" t="s">
        <v>469</v>
      </c>
      <c r="D417" t="s">
        <v>87</v>
      </c>
      <c r="E417" t="s">
        <v>1</v>
      </c>
      <c r="F417" t="s">
        <v>1652</v>
      </c>
      <c r="G417" t="s">
        <v>1232</v>
      </c>
      <c r="H417">
        <v>1</v>
      </c>
    </row>
    <row r="418" spans="1:8" x14ac:dyDescent="0.25">
      <c r="A418" t="s">
        <v>1853</v>
      </c>
      <c r="B418" t="s">
        <v>451</v>
      </c>
      <c r="C418" t="s">
        <v>477</v>
      </c>
      <c r="D418" t="s">
        <v>87</v>
      </c>
      <c r="E418" t="s">
        <v>1</v>
      </c>
      <c r="F418" t="s">
        <v>1652</v>
      </c>
      <c r="G418" t="s">
        <v>1232</v>
      </c>
      <c r="H418">
        <v>1</v>
      </c>
    </row>
    <row r="419" spans="1:8" x14ac:dyDescent="0.25">
      <c r="A419" t="s">
        <v>1854</v>
      </c>
      <c r="B419" t="s">
        <v>451</v>
      </c>
      <c r="C419" t="s">
        <v>486</v>
      </c>
      <c r="D419" t="s">
        <v>87</v>
      </c>
      <c r="E419" t="s">
        <v>1</v>
      </c>
      <c r="F419" t="s">
        <v>1639</v>
      </c>
      <c r="G419" t="s">
        <v>1232</v>
      </c>
      <c r="H419">
        <v>1</v>
      </c>
    </row>
    <row r="420" spans="1:8" x14ac:dyDescent="0.25">
      <c r="A420" t="s">
        <v>1855</v>
      </c>
      <c r="B420" t="s">
        <v>451</v>
      </c>
      <c r="C420" t="s">
        <v>504</v>
      </c>
      <c r="D420" t="s">
        <v>87</v>
      </c>
      <c r="E420" t="s">
        <v>1</v>
      </c>
      <c r="F420" t="s">
        <v>1652</v>
      </c>
      <c r="G420" t="s">
        <v>1232</v>
      </c>
      <c r="H420">
        <v>1</v>
      </c>
    </row>
    <row r="421" spans="1:8" x14ac:dyDescent="0.25">
      <c r="A421" t="s">
        <v>1856</v>
      </c>
      <c r="B421" t="s">
        <v>451</v>
      </c>
      <c r="C421" t="s">
        <v>513</v>
      </c>
      <c r="D421" t="s">
        <v>87</v>
      </c>
      <c r="E421" t="s">
        <v>1</v>
      </c>
      <c r="F421" t="s">
        <v>1652</v>
      </c>
      <c r="G421" t="s">
        <v>1232</v>
      </c>
      <c r="H421">
        <v>1</v>
      </c>
    </row>
    <row r="422" spans="1:8" x14ac:dyDescent="0.25">
      <c r="A422" t="s">
        <v>1857</v>
      </c>
      <c r="B422" t="s">
        <v>451</v>
      </c>
      <c r="C422" t="s">
        <v>522</v>
      </c>
      <c r="D422" t="s">
        <v>87</v>
      </c>
      <c r="E422" t="s">
        <v>1</v>
      </c>
      <c r="F422" t="s">
        <v>1643</v>
      </c>
      <c r="G422" t="s">
        <v>1232</v>
      </c>
      <c r="H422">
        <v>1</v>
      </c>
    </row>
    <row r="423" spans="1:8" x14ac:dyDescent="0.25">
      <c r="A423" t="s">
        <v>1858</v>
      </c>
      <c r="B423" t="s">
        <v>451</v>
      </c>
      <c r="C423" t="s">
        <v>531</v>
      </c>
      <c r="D423" t="s">
        <v>87</v>
      </c>
      <c r="E423" t="s">
        <v>1</v>
      </c>
      <c r="F423" t="s">
        <v>1643</v>
      </c>
      <c r="G423" t="s">
        <v>1232</v>
      </c>
      <c r="H423">
        <v>1</v>
      </c>
    </row>
    <row r="424" spans="1:8" x14ac:dyDescent="0.25">
      <c r="A424" t="s">
        <v>1859</v>
      </c>
      <c r="B424" t="s">
        <v>451</v>
      </c>
      <c r="C424" t="s">
        <v>540</v>
      </c>
      <c r="D424" t="s">
        <v>82</v>
      </c>
      <c r="E424" t="s">
        <v>1</v>
      </c>
      <c r="F424" t="s">
        <v>1860</v>
      </c>
      <c r="G424" t="s">
        <v>1232</v>
      </c>
      <c r="H424">
        <v>1</v>
      </c>
    </row>
    <row r="425" spans="1:8" x14ac:dyDescent="0.25">
      <c r="A425" t="s">
        <v>1861</v>
      </c>
      <c r="B425" t="s">
        <v>460</v>
      </c>
      <c r="C425" t="s">
        <v>486</v>
      </c>
      <c r="D425" t="s">
        <v>87</v>
      </c>
      <c r="E425" t="s">
        <v>1</v>
      </c>
      <c r="F425" t="s">
        <v>1639</v>
      </c>
      <c r="G425" t="s">
        <v>1232</v>
      </c>
      <c r="H425">
        <v>1</v>
      </c>
    </row>
    <row r="426" spans="1:8" x14ac:dyDescent="0.25">
      <c r="A426" t="s">
        <v>1862</v>
      </c>
      <c r="B426" t="s">
        <v>460</v>
      </c>
      <c r="C426" t="s">
        <v>522</v>
      </c>
      <c r="D426" t="s">
        <v>87</v>
      </c>
      <c r="E426" t="s">
        <v>1</v>
      </c>
      <c r="F426" t="s">
        <v>1639</v>
      </c>
      <c r="G426" t="s">
        <v>1232</v>
      </c>
      <c r="H426">
        <v>1</v>
      </c>
    </row>
    <row r="427" spans="1:8" x14ac:dyDescent="0.25">
      <c r="A427" t="s">
        <v>1863</v>
      </c>
      <c r="B427" t="s">
        <v>460</v>
      </c>
      <c r="C427" t="s">
        <v>531</v>
      </c>
      <c r="D427" t="s">
        <v>87</v>
      </c>
      <c r="E427" t="s">
        <v>1</v>
      </c>
      <c r="F427" t="s">
        <v>1639</v>
      </c>
      <c r="G427" t="s">
        <v>1232</v>
      </c>
      <c r="H427">
        <v>1</v>
      </c>
    </row>
    <row r="428" spans="1:8" x14ac:dyDescent="0.25">
      <c r="A428" t="s">
        <v>1864</v>
      </c>
      <c r="B428" t="s">
        <v>469</v>
      </c>
      <c r="C428" t="s">
        <v>486</v>
      </c>
      <c r="D428" t="s">
        <v>87</v>
      </c>
      <c r="E428" t="s">
        <v>1</v>
      </c>
      <c r="F428" t="s">
        <v>1688</v>
      </c>
      <c r="G428" t="s">
        <v>1232</v>
      </c>
      <c r="H428">
        <v>1</v>
      </c>
    </row>
    <row r="429" spans="1:8" x14ac:dyDescent="0.25">
      <c r="A429" t="s">
        <v>1865</v>
      </c>
      <c r="B429" t="s">
        <v>469</v>
      </c>
      <c r="C429" t="s">
        <v>495</v>
      </c>
      <c r="D429" t="s">
        <v>82</v>
      </c>
      <c r="E429" t="s">
        <v>1</v>
      </c>
      <c r="F429" t="s">
        <v>1601</v>
      </c>
      <c r="G429" t="s">
        <v>1232</v>
      </c>
      <c r="H429">
        <v>1</v>
      </c>
    </row>
    <row r="430" spans="1:8" x14ac:dyDescent="0.25">
      <c r="A430" t="s">
        <v>1866</v>
      </c>
      <c r="B430" t="s">
        <v>469</v>
      </c>
      <c r="C430" t="s">
        <v>504</v>
      </c>
      <c r="D430" t="s">
        <v>87</v>
      </c>
      <c r="E430" t="s">
        <v>1</v>
      </c>
      <c r="F430" t="s">
        <v>1652</v>
      </c>
      <c r="G430" t="s">
        <v>1232</v>
      </c>
      <c r="H430">
        <v>1</v>
      </c>
    </row>
    <row r="431" spans="1:8" x14ac:dyDescent="0.25">
      <c r="A431" t="s">
        <v>1867</v>
      </c>
      <c r="B431" t="s">
        <v>469</v>
      </c>
      <c r="C431" t="s">
        <v>513</v>
      </c>
      <c r="D431" t="s">
        <v>82</v>
      </c>
      <c r="E431" t="s">
        <v>1</v>
      </c>
      <c r="F431" t="s">
        <v>1868</v>
      </c>
      <c r="G431" t="s">
        <v>1232</v>
      </c>
      <c r="H431">
        <v>1</v>
      </c>
    </row>
    <row r="432" spans="1:8" x14ac:dyDescent="0.25">
      <c r="A432" t="s">
        <v>1869</v>
      </c>
      <c r="B432" t="s">
        <v>469</v>
      </c>
      <c r="C432" t="s">
        <v>522</v>
      </c>
      <c r="D432" t="s">
        <v>87</v>
      </c>
      <c r="E432" t="s">
        <v>1</v>
      </c>
      <c r="F432" t="s">
        <v>1652</v>
      </c>
      <c r="G432" t="s">
        <v>1232</v>
      </c>
      <c r="H432">
        <v>1</v>
      </c>
    </row>
    <row r="433" spans="1:8" x14ac:dyDescent="0.25">
      <c r="A433" t="s">
        <v>1870</v>
      </c>
      <c r="B433" t="s">
        <v>469</v>
      </c>
      <c r="C433" t="s">
        <v>531</v>
      </c>
      <c r="D433" t="s">
        <v>87</v>
      </c>
      <c r="E433" t="s">
        <v>1</v>
      </c>
      <c r="F433" t="s">
        <v>1652</v>
      </c>
      <c r="G433" t="s">
        <v>1232</v>
      </c>
      <c r="H433">
        <v>1</v>
      </c>
    </row>
    <row r="434" spans="1:8" x14ac:dyDescent="0.25">
      <c r="A434" t="s">
        <v>1871</v>
      </c>
      <c r="B434" t="s">
        <v>477</v>
      </c>
      <c r="C434" t="s">
        <v>486</v>
      </c>
      <c r="D434" t="s">
        <v>87</v>
      </c>
      <c r="E434" t="s">
        <v>1</v>
      </c>
      <c r="F434" t="s">
        <v>1688</v>
      </c>
      <c r="G434" t="s">
        <v>1232</v>
      </c>
      <c r="H434">
        <v>1</v>
      </c>
    </row>
    <row r="435" spans="1:8" x14ac:dyDescent="0.25">
      <c r="A435" t="s">
        <v>1872</v>
      </c>
      <c r="B435" t="s">
        <v>477</v>
      </c>
      <c r="C435" t="s">
        <v>504</v>
      </c>
      <c r="D435" t="s">
        <v>87</v>
      </c>
      <c r="E435" t="s">
        <v>1</v>
      </c>
      <c r="F435" t="s">
        <v>1652</v>
      </c>
      <c r="G435" t="s">
        <v>1232</v>
      </c>
      <c r="H435">
        <v>1</v>
      </c>
    </row>
    <row r="436" spans="1:8" x14ac:dyDescent="0.25">
      <c r="A436" t="s">
        <v>1873</v>
      </c>
      <c r="B436" t="s">
        <v>477</v>
      </c>
      <c r="C436" t="s">
        <v>513</v>
      </c>
      <c r="D436" t="s">
        <v>87</v>
      </c>
      <c r="E436" t="s">
        <v>1</v>
      </c>
      <c r="F436" t="s">
        <v>1646</v>
      </c>
      <c r="G436" t="s">
        <v>1232</v>
      </c>
      <c r="H436">
        <v>1</v>
      </c>
    </row>
    <row r="437" spans="1:8" x14ac:dyDescent="0.25">
      <c r="A437" t="s">
        <v>1874</v>
      </c>
      <c r="B437" t="s">
        <v>477</v>
      </c>
      <c r="C437" t="s">
        <v>522</v>
      </c>
      <c r="D437" t="s">
        <v>87</v>
      </c>
      <c r="E437" t="s">
        <v>1</v>
      </c>
      <c r="F437" t="s">
        <v>1652</v>
      </c>
      <c r="G437" t="s">
        <v>1232</v>
      </c>
      <c r="H437">
        <v>1</v>
      </c>
    </row>
    <row r="438" spans="1:8" x14ac:dyDescent="0.25">
      <c r="A438" t="s">
        <v>1875</v>
      </c>
      <c r="B438" t="s">
        <v>477</v>
      </c>
      <c r="C438" t="s">
        <v>531</v>
      </c>
      <c r="D438" t="s">
        <v>87</v>
      </c>
      <c r="E438" t="s">
        <v>1</v>
      </c>
      <c r="F438" t="s">
        <v>1652</v>
      </c>
      <c r="G438" t="s">
        <v>1232</v>
      </c>
      <c r="H438">
        <v>1</v>
      </c>
    </row>
    <row r="439" spans="1:8" x14ac:dyDescent="0.25">
      <c r="A439" t="s">
        <v>1876</v>
      </c>
      <c r="B439" t="s">
        <v>477</v>
      </c>
      <c r="C439" t="s">
        <v>628</v>
      </c>
      <c r="D439" t="s">
        <v>82</v>
      </c>
      <c r="E439" t="s">
        <v>1</v>
      </c>
      <c r="F439" t="s">
        <v>1555</v>
      </c>
      <c r="G439" t="s">
        <v>1232</v>
      </c>
      <c r="H439">
        <v>1</v>
      </c>
    </row>
    <row r="440" spans="1:8" x14ac:dyDescent="0.25">
      <c r="A440" t="s">
        <v>1877</v>
      </c>
      <c r="B440" t="s">
        <v>486</v>
      </c>
      <c r="C440" t="s">
        <v>495</v>
      </c>
      <c r="D440" t="s">
        <v>87</v>
      </c>
      <c r="E440" t="s">
        <v>1</v>
      </c>
      <c r="F440" t="s">
        <v>1878</v>
      </c>
      <c r="G440" t="s">
        <v>1232</v>
      </c>
      <c r="H440">
        <v>1</v>
      </c>
    </row>
    <row r="441" spans="1:8" x14ac:dyDescent="0.25">
      <c r="A441" t="s">
        <v>1879</v>
      </c>
      <c r="B441" t="s">
        <v>486</v>
      </c>
      <c r="C441" t="s">
        <v>504</v>
      </c>
      <c r="D441" t="s">
        <v>82</v>
      </c>
      <c r="E441" t="s">
        <v>1</v>
      </c>
      <c r="F441" t="s">
        <v>1847</v>
      </c>
      <c r="G441" t="s">
        <v>1232</v>
      </c>
      <c r="H441">
        <v>1</v>
      </c>
    </row>
    <row r="442" spans="1:8" x14ac:dyDescent="0.25">
      <c r="A442" t="s">
        <v>1880</v>
      </c>
      <c r="B442" t="s">
        <v>486</v>
      </c>
      <c r="C442" t="s">
        <v>513</v>
      </c>
      <c r="D442" t="s">
        <v>87</v>
      </c>
      <c r="E442" t="s">
        <v>1</v>
      </c>
      <c r="F442" t="s">
        <v>1688</v>
      </c>
      <c r="G442" t="s">
        <v>1232</v>
      </c>
      <c r="H442">
        <v>1</v>
      </c>
    </row>
    <row r="443" spans="1:8" x14ac:dyDescent="0.25">
      <c r="A443" t="s">
        <v>1881</v>
      </c>
      <c r="B443" t="s">
        <v>486</v>
      </c>
      <c r="C443" t="s">
        <v>522</v>
      </c>
      <c r="D443" t="s">
        <v>87</v>
      </c>
      <c r="E443" t="s">
        <v>1</v>
      </c>
      <c r="F443" t="s">
        <v>1639</v>
      </c>
      <c r="G443" t="s">
        <v>1232</v>
      </c>
      <c r="H443">
        <v>1</v>
      </c>
    </row>
    <row r="444" spans="1:8" x14ac:dyDescent="0.25">
      <c r="A444" t="s">
        <v>1882</v>
      </c>
      <c r="B444" t="s">
        <v>486</v>
      </c>
      <c r="C444" t="s">
        <v>531</v>
      </c>
      <c r="D444" t="s">
        <v>87</v>
      </c>
      <c r="E444" t="s">
        <v>1</v>
      </c>
      <c r="F444" t="s">
        <v>1639</v>
      </c>
      <c r="G444" t="s">
        <v>1232</v>
      </c>
      <c r="H444">
        <v>1</v>
      </c>
    </row>
    <row r="445" spans="1:8" x14ac:dyDescent="0.25">
      <c r="A445" t="s">
        <v>1883</v>
      </c>
      <c r="B445" t="s">
        <v>495</v>
      </c>
      <c r="C445" t="s">
        <v>513</v>
      </c>
      <c r="D445" t="s">
        <v>82</v>
      </c>
      <c r="E445" t="s">
        <v>1</v>
      </c>
      <c r="F445" t="s">
        <v>1587</v>
      </c>
      <c r="G445" t="s">
        <v>1232</v>
      </c>
      <c r="H445">
        <v>1</v>
      </c>
    </row>
    <row r="446" spans="1:8" x14ac:dyDescent="0.25">
      <c r="A446" t="s">
        <v>1884</v>
      </c>
      <c r="B446" t="s">
        <v>495</v>
      </c>
      <c r="C446" t="s">
        <v>540</v>
      </c>
      <c r="D446" t="s">
        <v>87</v>
      </c>
      <c r="E446" t="s">
        <v>1</v>
      </c>
      <c r="F446" t="s">
        <v>1545</v>
      </c>
      <c r="G446" t="s">
        <v>1232</v>
      </c>
      <c r="H446">
        <v>1</v>
      </c>
    </row>
    <row r="447" spans="1:8" x14ac:dyDescent="0.25">
      <c r="A447" t="s">
        <v>1885</v>
      </c>
      <c r="B447" t="s">
        <v>504</v>
      </c>
      <c r="C447" t="s">
        <v>522</v>
      </c>
      <c r="D447" t="s">
        <v>87</v>
      </c>
      <c r="E447" t="s">
        <v>1</v>
      </c>
      <c r="F447" t="s">
        <v>1652</v>
      </c>
      <c r="G447" t="s">
        <v>1232</v>
      </c>
      <c r="H447">
        <v>1</v>
      </c>
    </row>
    <row r="448" spans="1:8" x14ac:dyDescent="0.25">
      <c r="A448" t="s">
        <v>1886</v>
      </c>
      <c r="B448" t="s">
        <v>504</v>
      </c>
      <c r="C448" t="s">
        <v>531</v>
      </c>
      <c r="D448" t="s">
        <v>87</v>
      </c>
      <c r="E448" t="s">
        <v>1</v>
      </c>
      <c r="F448" t="s">
        <v>1652</v>
      </c>
      <c r="G448" t="s">
        <v>1232</v>
      </c>
      <c r="H448">
        <v>1</v>
      </c>
    </row>
    <row r="449" spans="1:8" x14ac:dyDescent="0.25">
      <c r="A449" t="s">
        <v>1887</v>
      </c>
      <c r="B449" t="s">
        <v>513</v>
      </c>
      <c r="C449" t="s">
        <v>522</v>
      </c>
      <c r="D449" t="s">
        <v>87</v>
      </c>
      <c r="E449" t="s">
        <v>1</v>
      </c>
      <c r="F449" t="s">
        <v>1652</v>
      </c>
      <c r="G449" t="s">
        <v>1232</v>
      </c>
      <c r="H449">
        <v>1</v>
      </c>
    </row>
    <row r="450" spans="1:8" x14ac:dyDescent="0.25">
      <c r="A450" t="s">
        <v>1888</v>
      </c>
      <c r="B450" t="s">
        <v>513</v>
      </c>
      <c r="C450" t="s">
        <v>531</v>
      </c>
      <c r="D450" t="s">
        <v>87</v>
      </c>
      <c r="E450" t="s">
        <v>1</v>
      </c>
      <c r="F450" t="s">
        <v>1652</v>
      </c>
      <c r="G450" t="s">
        <v>1232</v>
      </c>
      <c r="H450">
        <v>1</v>
      </c>
    </row>
    <row r="451" spans="1:8" x14ac:dyDescent="0.25">
      <c r="A451" t="s">
        <v>1889</v>
      </c>
      <c r="B451" t="s">
        <v>531</v>
      </c>
      <c r="C451" t="s">
        <v>549</v>
      </c>
      <c r="D451" t="s">
        <v>82</v>
      </c>
      <c r="E451" t="s">
        <v>1</v>
      </c>
      <c r="F451" t="s">
        <v>1581</v>
      </c>
      <c r="G451" t="s">
        <v>1223</v>
      </c>
      <c r="H451">
        <v>2</v>
      </c>
    </row>
    <row r="452" spans="1:8" x14ac:dyDescent="0.25">
      <c r="A452" t="s">
        <v>1890</v>
      </c>
      <c r="B452" t="s">
        <v>531</v>
      </c>
      <c r="C452" t="s">
        <v>602</v>
      </c>
      <c r="D452" t="s">
        <v>82</v>
      </c>
      <c r="E452" t="s">
        <v>1</v>
      </c>
      <c r="F452" t="s">
        <v>1891</v>
      </c>
      <c r="G452" t="s">
        <v>1232</v>
      </c>
      <c r="H452">
        <v>1</v>
      </c>
    </row>
    <row r="453" spans="1:8" x14ac:dyDescent="0.25">
      <c r="A453" t="s">
        <v>1892</v>
      </c>
      <c r="B453" t="s">
        <v>531</v>
      </c>
      <c r="C453" t="s">
        <v>646</v>
      </c>
      <c r="D453" t="s">
        <v>82</v>
      </c>
      <c r="E453" t="s">
        <v>1</v>
      </c>
      <c r="F453" t="s">
        <v>1637</v>
      </c>
      <c r="G453" t="s">
        <v>1223</v>
      </c>
      <c r="H453">
        <v>2</v>
      </c>
    </row>
    <row r="454" spans="1:8" x14ac:dyDescent="0.25">
      <c r="A454" t="s">
        <v>1893</v>
      </c>
      <c r="B454" t="s">
        <v>549</v>
      </c>
      <c r="C454" t="s">
        <v>593</v>
      </c>
      <c r="D454" t="s">
        <v>87</v>
      </c>
      <c r="E454" t="s">
        <v>1</v>
      </c>
      <c r="F454" t="s">
        <v>1849</v>
      </c>
      <c r="G454" t="s">
        <v>1232</v>
      </c>
      <c r="H454">
        <v>1</v>
      </c>
    </row>
    <row r="455" spans="1:8" x14ac:dyDescent="0.25">
      <c r="A455" t="s">
        <v>1894</v>
      </c>
      <c r="B455" t="s">
        <v>549</v>
      </c>
      <c r="C455" t="s">
        <v>602</v>
      </c>
      <c r="D455" t="s">
        <v>82</v>
      </c>
      <c r="E455" t="s">
        <v>1</v>
      </c>
      <c r="F455" t="s">
        <v>1764</v>
      </c>
      <c r="G455" t="s">
        <v>1232</v>
      </c>
      <c r="H455">
        <v>1</v>
      </c>
    </row>
    <row r="456" spans="1:8" x14ac:dyDescent="0.25">
      <c r="A456" t="s">
        <v>1895</v>
      </c>
      <c r="B456" t="s">
        <v>549</v>
      </c>
      <c r="C456" t="s">
        <v>646</v>
      </c>
      <c r="D456" t="s">
        <v>82</v>
      </c>
      <c r="E456" t="s">
        <v>1</v>
      </c>
      <c r="F456" t="s">
        <v>1770</v>
      </c>
      <c r="G456" t="s">
        <v>1223</v>
      </c>
      <c r="H456">
        <v>2</v>
      </c>
    </row>
    <row r="457" spans="1:8" x14ac:dyDescent="0.25">
      <c r="A457" t="s">
        <v>1896</v>
      </c>
      <c r="B457" t="s">
        <v>558</v>
      </c>
      <c r="C457" t="s">
        <v>656</v>
      </c>
      <c r="D457" t="s">
        <v>87</v>
      </c>
      <c r="E457" t="s">
        <v>1</v>
      </c>
      <c r="F457" t="s">
        <v>1562</v>
      </c>
      <c r="G457" t="s">
        <v>1232</v>
      </c>
      <c r="H457">
        <v>1</v>
      </c>
    </row>
    <row r="458" spans="1:8" x14ac:dyDescent="0.25">
      <c r="A458" t="s">
        <v>1897</v>
      </c>
      <c r="B458" t="s">
        <v>567</v>
      </c>
      <c r="C458" t="s">
        <v>656</v>
      </c>
      <c r="D458" t="s">
        <v>87</v>
      </c>
      <c r="E458" t="s">
        <v>1</v>
      </c>
      <c r="F458" t="s">
        <v>1562</v>
      </c>
      <c r="G458" t="s">
        <v>1232</v>
      </c>
      <c r="H458">
        <v>1</v>
      </c>
    </row>
    <row r="459" spans="1:8" x14ac:dyDescent="0.25">
      <c r="A459" t="s">
        <v>1898</v>
      </c>
      <c r="B459" t="s">
        <v>576</v>
      </c>
      <c r="C459" t="s">
        <v>584</v>
      </c>
      <c r="D459" t="s">
        <v>87</v>
      </c>
      <c r="E459" t="s">
        <v>1</v>
      </c>
      <c r="F459" t="s">
        <v>1605</v>
      </c>
      <c r="G459" t="s">
        <v>1232</v>
      </c>
      <c r="H459">
        <v>1</v>
      </c>
    </row>
    <row r="460" spans="1:8" x14ac:dyDescent="0.25">
      <c r="A460" t="s">
        <v>1899</v>
      </c>
      <c r="B460" t="s">
        <v>576</v>
      </c>
      <c r="C460" t="s">
        <v>611</v>
      </c>
      <c r="D460" t="s">
        <v>87</v>
      </c>
      <c r="E460" t="s">
        <v>1</v>
      </c>
      <c r="F460" t="s">
        <v>1605</v>
      </c>
      <c r="G460" t="s">
        <v>1232</v>
      </c>
      <c r="H460">
        <v>1</v>
      </c>
    </row>
    <row r="461" spans="1:8" x14ac:dyDescent="0.25">
      <c r="A461" t="s">
        <v>1900</v>
      </c>
      <c r="B461" t="s">
        <v>576</v>
      </c>
      <c r="C461" t="s">
        <v>620</v>
      </c>
      <c r="D461" t="s">
        <v>87</v>
      </c>
      <c r="E461" t="s">
        <v>1</v>
      </c>
      <c r="F461" t="s">
        <v>1605</v>
      </c>
      <c r="G461" t="s">
        <v>1232</v>
      </c>
      <c r="H461">
        <v>1</v>
      </c>
    </row>
    <row r="462" spans="1:8" x14ac:dyDescent="0.25">
      <c r="A462" t="s">
        <v>1901</v>
      </c>
      <c r="B462" t="s">
        <v>576</v>
      </c>
      <c r="C462" t="s">
        <v>628</v>
      </c>
      <c r="D462" t="s">
        <v>87</v>
      </c>
      <c r="E462" t="s">
        <v>1</v>
      </c>
      <c r="F462" t="s">
        <v>1605</v>
      </c>
      <c r="G462" t="s">
        <v>1232</v>
      </c>
      <c r="H462">
        <v>1</v>
      </c>
    </row>
    <row r="463" spans="1:8" x14ac:dyDescent="0.25">
      <c r="A463" t="s">
        <v>1902</v>
      </c>
      <c r="B463" t="s">
        <v>576</v>
      </c>
      <c r="C463" t="s">
        <v>637</v>
      </c>
      <c r="D463" t="s">
        <v>87</v>
      </c>
      <c r="E463" t="s">
        <v>1</v>
      </c>
      <c r="F463" t="s">
        <v>1605</v>
      </c>
      <c r="G463" t="s">
        <v>1232</v>
      </c>
      <c r="H463">
        <v>1</v>
      </c>
    </row>
    <row r="464" spans="1:8" x14ac:dyDescent="0.25">
      <c r="A464" t="s">
        <v>1903</v>
      </c>
      <c r="B464" t="s">
        <v>576</v>
      </c>
      <c r="C464" t="s">
        <v>646</v>
      </c>
      <c r="D464" t="s">
        <v>87</v>
      </c>
      <c r="E464" t="s">
        <v>1</v>
      </c>
      <c r="F464" t="s">
        <v>1605</v>
      </c>
      <c r="G464" t="s">
        <v>1232</v>
      </c>
      <c r="H464">
        <v>1</v>
      </c>
    </row>
    <row r="465" spans="1:8" x14ac:dyDescent="0.25">
      <c r="A465" t="s">
        <v>1904</v>
      </c>
      <c r="B465" t="s">
        <v>584</v>
      </c>
      <c r="C465" t="s">
        <v>602</v>
      </c>
      <c r="D465" t="s">
        <v>87</v>
      </c>
      <c r="E465" t="s">
        <v>1</v>
      </c>
      <c r="F465" t="s">
        <v>1613</v>
      </c>
      <c r="G465" t="s">
        <v>1232</v>
      </c>
      <c r="H465">
        <v>1</v>
      </c>
    </row>
    <row r="466" spans="1:8" x14ac:dyDescent="0.25">
      <c r="A466" t="s">
        <v>1905</v>
      </c>
      <c r="B466" t="s">
        <v>584</v>
      </c>
      <c r="C466" t="s">
        <v>611</v>
      </c>
      <c r="D466" t="s">
        <v>87</v>
      </c>
      <c r="E466" t="s">
        <v>1</v>
      </c>
      <c r="F466" t="s">
        <v>1605</v>
      </c>
      <c r="G466" t="s">
        <v>1232</v>
      </c>
      <c r="H466">
        <v>1</v>
      </c>
    </row>
    <row r="467" spans="1:8" x14ac:dyDescent="0.25">
      <c r="A467" t="s">
        <v>1906</v>
      </c>
      <c r="B467" t="s">
        <v>584</v>
      </c>
      <c r="C467" t="s">
        <v>620</v>
      </c>
      <c r="D467" t="s">
        <v>87</v>
      </c>
      <c r="E467" t="s">
        <v>1</v>
      </c>
      <c r="F467" t="s">
        <v>1605</v>
      </c>
      <c r="G467" t="s">
        <v>1232</v>
      </c>
      <c r="H467">
        <v>1</v>
      </c>
    </row>
    <row r="468" spans="1:8" x14ac:dyDescent="0.25">
      <c r="A468" t="s">
        <v>1907</v>
      </c>
      <c r="B468" t="s">
        <v>584</v>
      </c>
      <c r="C468" t="s">
        <v>628</v>
      </c>
      <c r="D468" t="s">
        <v>87</v>
      </c>
      <c r="E468" t="s">
        <v>1</v>
      </c>
      <c r="F468" t="s">
        <v>1605</v>
      </c>
      <c r="G468" t="s">
        <v>1232</v>
      </c>
      <c r="H468">
        <v>1</v>
      </c>
    </row>
    <row r="469" spans="1:8" x14ac:dyDescent="0.25">
      <c r="A469" t="s">
        <v>1908</v>
      </c>
      <c r="B469" t="s">
        <v>584</v>
      </c>
      <c r="C469" t="s">
        <v>637</v>
      </c>
      <c r="D469" t="s">
        <v>87</v>
      </c>
      <c r="E469" t="s">
        <v>1</v>
      </c>
      <c r="F469" t="s">
        <v>1599</v>
      </c>
      <c r="G469" t="s">
        <v>1232</v>
      </c>
      <c r="H469">
        <v>1</v>
      </c>
    </row>
    <row r="470" spans="1:8" x14ac:dyDescent="0.25">
      <c r="A470" t="s">
        <v>1909</v>
      </c>
      <c r="B470" t="s">
        <v>584</v>
      </c>
      <c r="C470" t="s">
        <v>646</v>
      </c>
      <c r="D470" t="s">
        <v>87</v>
      </c>
      <c r="E470" t="s">
        <v>1</v>
      </c>
      <c r="F470" t="s">
        <v>1605</v>
      </c>
      <c r="G470" t="s">
        <v>1232</v>
      </c>
      <c r="H470">
        <v>1</v>
      </c>
    </row>
    <row r="471" spans="1:8" x14ac:dyDescent="0.25">
      <c r="A471" t="s">
        <v>1910</v>
      </c>
      <c r="B471" t="s">
        <v>584</v>
      </c>
      <c r="C471" t="s">
        <v>656</v>
      </c>
      <c r="D471" t="s">
        <v>87</v>
      </c>
      <c r="E471" t="s">
        <v>1</v>
      </c>
      <c r="F471" t="s">
        <v>1605</v>
      </c>
      <c r="G471" t="s">
        <v>1232</v>
      </c>
      <c r="H471">
        <v>1</v>
      </c>
    </row>
    <row r="472" spans="1:8" x14ac:dyDescent="0.25">
      <c r="A472" t="s">
        <v>1911</v>
      </c>
      <c r="B472" t="s">
        <v>593</v>
      </c>
      <c r="C472" t="s">
        <v>602</v>
      </c>
      <c r="D472" t="s">
        <v>87</v>
      </c>
      <c r="E472" t="s">
        <v>1</v>
      </c>
      <c r="F472" t="s">
        <v>1613</v>
      </c>
      <c r="G472" t="s">
        <v>1232</v>
      </c>
      <c r="H472">
        <v>1</v>
      </c>
    </row>
    <row r="473" spans="1:8" x14ac:dyDescent="0.25">
      <c r="A473" t="s">
        <v>1912</v>
      </c>
      <c r="B473" t="s">
        <v>593</v>
      </c>
      <c r="C473" t="s">
        <v>637</v>
      </c>
      <c r="D473" t="s">
        <v>87</v>
      </c>
      <c r="E473" t="s">
        <v>1</v>
      </c>
      <c r="F473" t="s">
        <v>1613</v>
      </c>
      <c r="G473" t="s">
        <v>1232</v>
      </c>
      <c r="H473">
        <v>1</v>
      </c>
    </row>
    <row r="474" spans="1:8" x14ac:dyDescent="0.25">
      <c r="A474" t="s">
        <v>1913</v>
      </c>
      <c r="B474" t="s">
        <v>593</v>
      </c>
      <c r="C474" t="s">
        <v>646</v>
      </c>
      <c r="D474" t="s">
        <v>87</v>
      </c>
      <c r="E474" t="s">
        <v>1</v>
      </c>
      <c r="F474" t="s">
        <v>1849</v>
      </c>
      <c r="G474" t="s">
        <v>1232</v>
      </c>
      <c r="H474">
        <v>1</v>
      </c>
    </row>
    <row r="475" spans="1:8" x14ac:dyDescent="0.25">
      <c r="A475" t="s">
        <v>1914</v>
      </c>
      <c r="B475" t="s">
        <v>602</v>
      </c>
      <c r="C475" t="s">
        <v>637</v>
      </c>
      <c r="D475" t="s">
        <v>87</v>
      </c>
      <c r="E475" t="s">
        <v>1</v>
      </c>
      <c r="F475" t="s">
        <v>1613</v>
      </c>
      <c r="G475" t="s">
        <v>1232</v>
      </c>
      <c r="H475">
        <v>1</v>
      </c>
    </row>
    <row r="476" spans="1:8" x14ac:dyDescent="0.25">
      <c r="A476" t="s">
        <v>1915</v>
      </c>
      <c r="B476" t="s">
        <v>602</v>
      </c>
      <c r="C476" t="s">
        <v>646</v>
      </c>
      <c r="D476" t="s">
        <v>82</v>
      </c>
      <c r="E476" t="s">
        <v>1</v>
      </c>
      <c r="F476" t="s">
        <v>1916</v>
      </c>
      <c r="G476" t="s">
        <v>1232</v>
      </c>
      <c r="H476">
        <v>1</v>
      </c>
    </row>
    <row r="477" spans="1:8" x14ac:dyDescent="0.25">
      <c r="A477" t="s">
        <v>1917</v>
      </c>
      <c r="B477" t="s">
        <v>611</v>
      </c>
      <c r="C477" t="s">
        <v>620</v>
      </c>
      <c r="D477" t="s">
        <v>82</v>
      </c>
      <c r="E477" t="s">
        <v>1</v>
      </c>
      <c r="F477" t="s">
        <v>1673</v>
      </c>
      <c r="G477" t="s">
        <v>1232</v>
      </c>
      <c r="H477">
        <v>1</v>
      </c>
    </row>
    <row r="478" spans="1:8" x14ac:dyDescent="0.25">
      <c r="A478" t="s">
        <v>1918</v>
      </c>
      <c r="B478" t="s">
        <v>611</v>
      </c>
      <c r="C478" t="s">
        <v>628</v>
      </c>
      <c r="D478" t="s">
        <v>87</v>
      </c>
      <c r="E478" t="s">
        <v>1</v>
      </c>
      <c r="F478" t="s">
        <v>1605</v>
      </c>
      <c r="G478" t="s">
        <v>1232</v>
      </c>
      <c r="H478">
        <v>1</v>
      </c>
    </row>
    <row r="479" spans="1:8" x14ac:dyDescent="0.25">
      <c r="A479" t="s">
        <v>1919</v>
      </c>
      <c r="B479" t="s">
        <v>611</v>
      </c>
      <c r="C479" t="s">
        <v>637</v>
      </c>
      <c r="D479" t="s">
        <v>87</v>
      </c>
      <c r="E479" t="s">
        <v>1</v>
      </c>
      <c r="F479" t="s">
        <v>1605</v>
      </c>
      <c r="G479" t="s">
        <v>1232</v>
      </c>
      <c r="H479">
        <v>1</v>
      </c>
    </row>
    <row r="480" spans="1:8" x14ac:dyDescent="0.25">
      <c r="A480" t="s">
        <v>1920</v>
      </c>
      <c r="B480" t="s">
        <v>611</v>
      </c>
      <c r="C480" t="s">
        <v>646</v>
      </c>
      <c r="D480" t="s">
        <v>87</v>
      </c>
      <c r="E480" t="s">
        <v>1</v>
      </c>
      <c r="F480" t="s">
        <v>1605</v>
      </c>
      <c r="G480" t="s">
        <v>1232</v>
      </c>
      <c r="H480">
        <v>1</v>
      </c>
    </row>
    <row r="481" spans="1:8" x14ac:dyDescent="0.25">
      <c r="A481" t="s">
        <v>1921</v>
      </c>
      <c r="B481" t="s">
        <v>611</v>
      </c>
      <c r="C481" t="s">
        <v>656</v>
      </c>
      <c r="D481" t="s">
        <v>87</v>
      </c>
      <c r="E481" t="s">
        <v>1</v>
      </c>
      <c r="F481" t="s">
        <v>1605</v>
      </c>
      <c r="G481" t="s">
        <v>1232</v>
      </c>
      <c r="H481">
        <v>1</v>
      </c>
    </row>
    <row r="482" spans="1:8" x14ac:dyDescent="0.25">
      <c r="A482" t="s">
        <v>1922</v>
      </c>
      <c r="B482" t="s">
        <v>620</v>
      </c>
      <c r="C482" t="s">
        <v>637</v>
      </c>
      <c r="D482" t="s">
        <v>87</v>
      </c>
      <c r="E482" t="s">
        <v>1</v>
      </c>
      <c r="F482" t="s">
        <v>1605</v>
      </c>
      <c r="G482" t="s">
        <v>1232</v>
      </c>
      <c r="H482">
        <v>1</v>
      </c>
    </row>
    <row r="483" spans="1:8" x14ac:dyDescent="0.25">
      <c r="A483" t="s">
        <v>1923</v>
      </c>
      <c r="B483" t="s">
        <v>620</v>
      </c>
      <c r="C483" t="s">
        <v>646</v>
      </c>
      <c r="D483" t="s">
        <v>87</v>
      </c>
      <c r="E483" t="s">
        <v>1</v>
      </c>
      <c r="F483" t="s">
        <v>1605</v>
      </c>
      <c r="G483" t="s">
        <v>1232</v>
      </c>
      <c r="H483">
        <v>1</v>
      </c>
    </row>
    <row r="484" spans="1:8" x14ac:dyDescent="0.25">
      <c r="A484" t="s">
        <v>1924</v>
      </c>
      <c r="B484" t="s">
        <v>620</v>
      </c>
      <c r="C484" t="s">
        <v>656</v>
      </c>
      <c r="D484" t="s">
        <v>87</v>
      </c>
      <c r="E484" t="s">
        <v>1</v>
      </c>
      <c r="F484" t="s">
        <v>1605</v>
      </c>
      <c r="G484" t="s">
        <v>1232</v>
      </c>
      <c r="H484">
        <v>1</v>
      </c>
    </row>
    <row r="485" spans="1:8" x14ac:dyDescent="0.25">
      <c r="A485" t="s">
        <v>1925</v>
      </c>
      <c r="B485" t="s">
        <v>628</v>
      </c>
      <c r="C485" t="s">
        <v>637</v>
      </c>
      <c r="D485" t="s">
        <v>87</v>
      </c>
      <c r="E485" t="s">
        <v>1</v>
      </c>
      <c r="F485" t="s">
        <v>1605</v>
      </c>
      <c r="G485" t="s">
        <v>1232</v>
      </c>
      <c r="H485">
        <v>1</v>
      </c>
    </row>
    <row r="486" spans="1:8" x14ac:dyDescent="0.25">
      <c r="A486" t="s">
        <v>1926</v>
      </c>
      <c r="B486" t="s">
        <v>628</v>
      </c>
      <c r="C486" t="s">
        <v>646</v>
      </c>
      <c r="D486" t="s">
        <v>87</v>
      </c>
      <c r="E486" t="s">
        <v>1</v>
      </c>
      <c r="F486" t="s">
        <v>1605</v>
      </c>
      <c r="G486" t="s">
        <v>1232</v>
      </c>
      <c r="H486">
        <v>1</v>
      </c>
    </row>
    <row r="487" spans="1:8" x14ac:dyDescent="0.25">
      <c r="A487" t="s">
        <v>1927</v>
      </c>
      <c r="B487" t="s">
        <v>628</v>
      </c>
      <c r="C487" t="s">
        <v>656</v>
      </c>
      <c r="D487" t="s">
        <v>87</v>
      </c>
      <c r="E487" t="s">
        <v>1</v>
      </c>
      <c r="F487" t="s">
        <v>1605</v>
      </c>
      <c r="G487" t="s">
        <v>1232</v>
      </c>
      <c r="H487">
        <v>1</v>
      </c>
    </row>
    <row r="488" spans="1:8" x14ac:dyDescent="0.25">
      <c r="A488" t="s">
        <v>1928</v>
      </c>
      <c r="B488" t="s">
        <v>637</v>
      </c>
      <c r="C488" t="s">
        <v>646</v>
      </c>
      <c r="D488" t="s">
        <v>87</v>
      </c>
      <c r="E488" t="s">
        <v>1</v>
      </c>
      <c r="F488" t="s">
        <v>1605</v>
      </c>
      <c r="G488" t="s">
        <v>1232</v>
      </c>
      <c r="H488">
        <v>1</v>
      </c>
    </row>
    <row r="489" spans="1:8" x14ac:dyDescent="0.25">
      <c r="A489" t="s">
        <v>1929</v>
      </c>
      <c r="B489" t="s">
        <v>637</v>
      </c>
      <c r="C489" t="s">
        <v>656</v>
      </c>
      <c r="D489" t="s">
        <v>87</v>
      </c>
      <c r="E489" t="s">
        <v>1</v>
      </c>
      <c r="F489" t="s">
        <v>1605</v>
      </c>
      <c r="G489" t="s">
        <v>1232</v>
      </c>
      <c r="H489">
        <v>1</v>
      </c>
    </row>
    <row r="490" spans="1:8" x14ac:dyDescent="0.25">
      <c r="A490" t="s">
        <v>1930</v>
      </c>
      <c r="B490" t="s">
        <v>646</v>
      </c>
      <c r="C490" t="s">
        <v>656</v>
      </c>
      <c r="D490" t="s">
        <v>87</v>
      </c>
      <c r="E490" t="s">
        <v>1</v>
      </c>
      <c r="F490" t="s">
        <v>1605</v>
      </c>
      <c r="G490" t="s">
        <v>1232</v>
      </c>
      <c r="H490">
        <v>1</v>
      </c>
    </row>
  </sheetData>
  <autoFilter ref="A1:H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cols>
    <col min="1" max="1" width="20" customWidth="1"/>
    <col min="2" max="2" width="130" customWidth="1"/>
  </cols>
  <sheetData>
    <row r="1" spans="1:2" x14ac:dyDescent="0.25">
      <c r="A1" s="2" t="s">
        <v>1931</v>
      </c>
      <c r="B1" s="2" t="s">
        <v>1932</v>
      </c>
    </row>
    <row r="2" spans="1:2" x14ac:dyDescent="0.25">
      <c r="A2" t="s">
        <v>1933</v>
      </c>
      <c r="B2" t="s">
        <v>1934</v>
      </c>
    </row>
    <row r="3" spans="1:2" x14ac:dyDescent="0.25">
      <c r="A3" t="s">
        <v>1935</v>
      </c>
      <c r="B3" t="s">
        <v>1936</v>
      </c>
    </row>
    <row r="4" spans="1:2" x14ac:dyDescent="0.25">
      <c r="A4" t="s">
        <v>1937</v>
      </c>
      <c r="B4" t="s">
        <v>40</v>
      </c>
    </row>
    <row r="5" spans="1:2" x14ac:dyDescent="0.25">
      <c r="A5" t="s">
        <v>1938</v>
      </c>
      <c r="B5" t="s">
        <v>34</v>
      </c>
    </row>
    <row r="6" spans="1:2" x14ac:dyDescent="0.25">
      <c r="A6" t="s">
        <v>1939</v>
      </c>
      <c r="B6" t="s">
        <v>1940</v>
      </c>
    </row>
    <row r="7" spans="1:2" x14ac:dyDescent="0.25">
      <c r="A7" t="s">
        <v>1941</v>
      </c>
      <c r="B7" t="s">
        <v>1942</v>
      </c>
    </row>
    <row r="8" spans="1:2" x14ac:dyDescent="0.25">
      <c r="A8" t="s">
        <v>1943</v>
      </c>
      <c r="B8" t="s">
        <v>1944</v>
      </c>
    </row>
    <row r="9" spans="1:2" x14ac:dyDescent="0.25">
      <c r="A9" t="s">
        <v>1945</v>
      </c>
      <c r="B9" t="s">
        <v>1946</v>
      </c>
    </row>
    <row r="10" spans="1:2" x14ac:dyDescent="0.25">
      <c r="A10" t="s">
        <v>1947</v>
      </c>
      <c r="B10" t="s">
        <v>1948</v>
      </c>
    </row>
    <row r="11" spans="1:2" x14ac:dyDescent="0.25">
      <c r="A11" t="s">
        <v>1949</v>
      </c>
      <c r="B11" t="s">
        <v>1950</v>
      </c>
    </row>
    <row r="12" spans="1:2" x14ac:dyDescent="0.25">
      <c r="A12" t="s">
        <v>1951</v>
      </c>
      <c r="B12" t="s">
        <v>1952</v>
      </c>
    </row>
    <row r="13" spans="1:2" x14ac:dyDescent="0.25">
      <c r="A13" t="s">
        <v>1953</v>
      </c>
      <c r="B13" t="s">
        <v>1954</v>
      </c>
    </row>
    <row r="14" spans="1:2" x14ac:dyDescent="0.25">
      <c r="A14" t="s">
        <v>1955</v>
      </c>
      <c r="B14" t="s">
        <v>1956</v>
      </c>
    </row>
    <row r="15" spans="1:2" x14ac:dyDescent="0.25">
      <c r="A15" t="s">
        <v>1957</v>
      </c>
      <c r="B15" t="s">
        <v>1958</v>
      </c>
    </row>
    <row r="16" spans="1:2" x14ac:dyDescent="0.25">
      <c r="A16" t="s">
        <v>1959</v>
      </c>
      <c r="B16" t="s">
        <v>1960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1" width="44" customWidth="1"/>
    <col min="2" max="2" width="14" customWidth="1"/>
    <col min="3" max="3" width="16" customWidth="1"/>
  </cols>
  <sheetData>
    <row r="1" spans="1:3" x14ac:dyDescent="0.25">
      <c r="A1" s="2" t="s">
        <v>1961</v>
      </c>
      <c r="B1" s="2" t="s">
        <v>1962</v>
      </c>
      <c r="C1" s="2" t="s">
        <v>1963</v>
      </c>
    </row>
    <row r="2" spans="1:3" x14ac:dyDescent="0.25">
      <c r="A2" t="s">
        <v>1964</v>
      </c>
      <c r="B2">
        <f>SUMPRODUCT((COUNTIF(NODOS!A2:A500,NODOS!A2:A500)&gt;1)*(NODOS!A2:A500&lt;&gt;""))</f>
      </c>
      <c r="C2">
        <f>IF(B2=0,"OK","REVISAR")</f>
      </c>
    </row>
    <row r="3" spans="1:3" x14ac:dyDescent="0.25">
      <c r="A3" t="s">
        <v>1965</v>
      </c>
      <c r="B3">
        <f>SUMPRODUCT((NODOS!A2:A500&lt;&gt;"")*(COUNTIF(CAPAS!B2:B30,NODOS!C2:C500)=0))</f>
      </c>
      <c r="C3">
        <f>IF(B3=0,"OK","REVISAR")</f>
      </c>
    </row>
    <row r="4" spans="1:3" x14ac:dyDescent="0.25">
      <c r="A4" t="s">
        <v>1966</v>
      </c>
      <c r="B4">
        <f>SUMPRODUCT((ARISTAS!A2:A500&lt;&gt;"")*(COUNTIF(NODOS!A2:A500,ARISTAS!B2:B500)=0))</f>
      </c>
      <c r="C4">
        <f>IF(B4=0,"OK","REVISAR")</f>
      </c>
    </row>
    <row r="5" spans="1:3" x14ac:dyDescent="0.25">
      <c r="A5" t="s">
        <v>1967</v>
      </c>
      <c r="B5">
        <f>SUMPRODUCT((ARISTAS!A2:A500&lt;&gt;"")*(COUNTIF(NODOS!A2:A500,ARISTAS!C2:C500)=0))</f>
      </c>
      <c r="C5">
        <f>IF(B5=0,"OK","REVISAR")</f>
      </c>
    </row>
    <row r="6" spans="1:3" x14ac:dyDescent="0.25">
      <c r="A6" t="s">
        <v>1968</v>
      </c>
      <c r="B6">
        <f>SUMPRODUCT((ARISTAS!A2:A500&lt;&gt;"")*(COUNTIF(INTERACCIONES!B2:B30,ARISTAS!D2:D500)=0))</f>
      </c>
      <c r="C6">
        <f>IF(B6=0,"OK","REVISAR")</f>
      </c>
    </row>
    <row r="7" spans="1:3" x14ac:dyDescent="0.25">
      <c r="A7" t="s">
        <v>1969</v>
      </c>
      <c r="B7">
        <f>SUMPRODUCT((ARISTAS!A2:A500&lt;&gt;"")*(ARISTAS!B2:B500=ARISTAS!C2:C500))</f>
      </c>
      <c r="C7">
        <f>IF(B7=0,"OK","REVISAR")</f>
      </c>
    </row>
    <row r="8" spans="1:3" x14ac:dyDescent="0.25">
      <c r="A8" t="s">
        <v>1970</v>
      </c>
      <c r="B8">
        <f>SUMPRODUCT((NODOS!A2:A500&lt;&gt;"")*(COUNTIF(ARISTAS!B2:B500,NODOS!A2:A500)+COUNTIF(ARISTAS!C2:C500,NODOS!A2:A500)=0))</f>
      </c>
      <c r="C8">
        <f>IF(B8=0,"OK","REVISAR")</f>
      </c>
    </row>
    <row r="9" spans="1:3" x14ac:dyDescent="0.25">
      <c r="A9" t="s">
        <v>1971</v>
      </c>
      <c r="B9" t="s">
        <v>1</v>
      </c>
      <c r="C9">
        <f>IF(COUNTIF(C2:C8,"OK")=7,"RED LISTA","REVISAR")</f>
      </c>
    </row>
    <row r="10" spans="1:2" x14ac:dyDescent="0.25">
      <c r="A10" t="s">
        <v>1972</v>
      </c>
      <c r="B10">
        <f>COUNTA(NODOS!A2:A500)</f>
      </c>
    </row>
    <row r="11" spans="1:2" x14ac:dyDescent="0.25">
      <c r="A11" t="s">
        <v>1973</v>
      </c>
      <c r="B11">
        <f>COUNTA(ARISTAS!A2:A500)</f>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LEEME</vt:lpstr>
      <vt:lpstr>CAPAS</vt:lpstr>
      <vt:lpstr>INTERACCIONES</vt:lpstr>
      <vt:lpstr>NODOS</vt:lpstr>
      <vt:lpstr>ARISTAS</vt:lpstr>
      <vt:lpstr>RED</vt:lpstr>
      <vt:lpstr>CONTROL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2026-10-09T12:16:01Z</dcterms:created>
  <dcterms:modified xsi:type="dcterms:W3CDTF">2026-10-09T12:16:01Z</dcterms:modified>
</cp:coreProperties>
</file>